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sper\Desktop\Doba\ne doba\prihodek in odhodek\"/>
    </mc:Choice>
  </mc:AlternateContent>
  <xr:revisionPtr revIDLastSave="0" documentId="13_ncr:1_{54A6E05E-A716-4F0D-B903-9C6A1DEDF21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🏠 Dashboard" sheetId="1" r:id="rId1"/>
    <sheet name="⚙️ Kategorije" sheetId="2" r:id="rId2"/>
    <sheet name="💼 Čistopis" sheetId="3" r:id="rId3"/>
    <sheet name="💰 Prihodki" sheetId="4" r:id="rId4"/>
    <sheet name="📝 Vnos stroškov" sheetId="5" r:id="rId5"/>
    <sheet name="📊 Mesečni pregled" sheetId="6" r:id="rId6"/>
    <sheet name="📈 Graf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6" l="1"/>
  <c r="L11" i="6"/>
  <c r="K11" i="6"/>
  <c r="J11" i="6"/>
  <c r="I11" i="6"/>
  <c r="H11" i="6"/>
  <c r="G11" i="6"/>
  <c r="F11" i="6"/>
  <c r="E11" i="6"/>
  <c r="D11" i="6"/>
  <c r="C11" i="6"/>
  <c r="B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M5" i="6"/>
  <c r="L5" i="6"/>
  <c r="K5" i="6"/>
  <c r="J5" i="6"/>
  <c r="I5" i="6"/>
  <c r="H5" i="6"/>
  <c r="G5" i="6"/>
  <c r="F5" i="6"/>
  <c r="E5" i="6"/>
  <c r="D5" i="6"/>
  <c r="C5" i="6"/>
  <c r="B5" i="6"/>
  <c r="M4" i="6"/>
  <c r="M12" i="6" s="1"/>
  <c r="C16" i="3" s="1"/>
  <c r="L4" i="6"/>
  <c r="K4" i="6"/>
  <c r="K12" i="6" s="1"/>
  <c r="C14" i="3" s="1"/>
  <c r="D14" i="3" s="1"/>
  <c r="J4" i="6"/>
  <c r="I4" i="6"/>
  <c r="H4" i="6"/>
  <c r="G4" i="6"/>
  <c r="G12" i="6" s="1"/>
  <c r="C10" i="3" s="1"/>
  <c r="F4" i="6"/>
  <c r="E4" i="6"/>
  <c r="D4" i="6"/>
  <c r="C4" i="6"/>
  <c r="B4" i="6"/>
  <c r="B16" i="3"/>
  <c r="B15" i="3"/>
  <c r="B14" i="3"/>
  <c r="B13" i="3"/>
  <c r="B12" i="3"/>
  <c r="B11" i="3"/>
  <c r="B10" i="3"/>
  <c r="B9" i="3"/>
  <c r="B8" i="3"/>
  <c r="B6" i="3"/>
  <c r="B17" i="3"/>
  <c r="B23" i="1"/>
  <c r="B22" i="1"/>
  <c r="B21" i="1"/>
  <c r="B20" i="1"/>
  <c r="B19" i="1"/>
  <c r="B18" i="1"/>
  <c r="B17" i="1"/>
  <c r="B16" i="1"/>
  <c r="A5" i="1"/>
  <c r="F12" i="6" l="1"/>
  <c r="C9" i="3" s="1"/>
  <c r="D9" i="3" s="1"/>
  <c r="L12" i="6"/>
  <c r="C15" i="3" s="1"/>
  <c r="D15" i="3" s="1"/>
  <c r="I12" i="6"/>
  <c r="C12" i="3" s="1"/>
  <c r="D12" i="3" s="1"/>
  <c r="E12" i="6"/>
  <c r="C8" i="3" s="1"/>
  <c r="D8" i="3" s="1"/>
  <c r="H12" i="6"/>
  <c r="C11" i="3" s="1"/>
  <c r="D11" i="3" s="1"/>
  <c r="D16" i="3"/>
  <c r="B12" i="6"/>
  <c r="C5" i="3" s="1"/>
  <c r="D5" i="3" s="1"/>
  <c r="C12" i="6"/>
  <c r="C6" i="3" s="1"/>
  <c r="D6" i="3" s="1"/>
  <c r="D12" i="6"/>
  <c r="C7" i="3" s="1"/>
  <c r="D7" i="3" s="1"/>
  <c r="B12" i="1"/>
  <c r="J12" i="6"/>
  <c r="C13" i="3" s="1"/>
  <c r="D13" i="3" s="1"/>
  <c r="B11" i="1"/>
  <c r="D10" i="3"/>
  <c r="D5" i="1" l="1"/>
  <c r="A8" i="1" s="1"/>
  <c r="B13" i="1"/>
  <c r="C17" i="3"/>
  <c r="E5" i="3" l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D17" i="3"/>
</calcChain>
</file>

<file path=xl/sharedStrings.xml><?xml version="1.0" encoding="utf-8"?>
<sst xmlns="http://schemas.openxmlformats.org/spreadsheetml/2006/main" count="856" uniqueCount="179">
  <si>
    <t>🏠 DASHBOARD</t>
  </si>
  <si>
    <t>Pregled financ 2025-2026 | Posodobljeno: 15.11.2025</t>
  </si>
  <si>
    <t>💰 SKUPAJ PRIHODKI</t>
  </si>
  <si>
    <t>💸 SKUPAJ STROŠKI</t>
  </si>
  <si>
    <t>✨ PRIHRANKI</t>
  </si>
  <si>
    <t>📈 POVPREČJA</t>
  </si>
  <si>
    <t>Povprečni mesečni prihodek:</t>
  </si>
  <si>
    <t>Povprečni mesečni stroški:</t>
  </si>
  <si>
    <t>Povprečni mesečni prihranki:</t>
  </si>
  <si>
    <t>🏷️ STROŠKI PO KATEGORIJAH</t>
  </si>
  <si>
    <t>Fiksni stroški</t>
  </si>
  <si>
    <t>Hrana</t>
  </si>
  <si>
    <t>Transport</t>
  </si>
  <si>
    <t>Zabava</t>
  </si>
  <si>
    <t>Oblačila</t>
  </si>
  <si>
    <t>Zdravstvo</t>
  </si>
  <si>
    <t>Šport/Fitnes</t>
  </si>
  <si>
    <t>Ostalo</t>
  </si>
  <si>
    <t>📖 NAVODILA</t>
  </si>
  <si>
    <t>1️⃣ Najprej nastavi KATEGORIJE</t>
  </si>
  <si>
    <t xml:space="preserve">   • Pojdi na list '⚙️ Kategorije'</t>
  </si>
  <si>
    <t xml:space="preserve">   • Dodaj ali spremeni kategorije po svojih željah</t>
  </si>
  <si>
    <t>2️⃣ Vnesi PRIHODKE</t>
  </si>
  <si>
    <t xml:space="preserve">   • Pojdi na list '💰 Prihodki'</t>
  </si>
  <si>
    <t xml:space="preserve">   • Za vsak mesec vnesi koliko si zaslužil</t>
  </si>
  <si>
    <t>3️⃣ Dodaj STROŠKE</t>
  </si>
  <si>
    <t xml:space="preserve">   • Pojdi na list '📝 Vnos stroškov'</t>
  </si>
  <si>
    <t xml:space="preserve">   • Izberi mesec iz dropdowna (ali vnesi direktno)</t>
  </si>
  <si>
    <t xml:space="preserve">   • Dodaj naziv, znesek in kategorijo</t>
  </si>
  <si>
    <t xml:space="preserve">   • Lahko dodajaš pretekle stroške!</t>
  </si>
  <si>
    <t>4️⃣ Preveri PREGLED</t>
  </si>
  <si>
    <t xml:space="preserve">   • List '📊 Mesečni pregled' prikazuje vse avtomatsko</t>
  </si>
  <si>
    <t xml:space="preserve">   • Dashboard prikazuje statistiko in grafe</t>
  </si>
  <si>
    <t>⚙️ UPRAVLJANJE KATEGORIJ</t>
  </si>
  <si>
    <t>Tukaj lahko dodajaš, spreminjat ali brišeš kategorije. Te kategorije se bodo uporabljale po celem Excel-u.</t>
  </si>
  <si>
    <t>KATEGORIJA</t>
  </si>
  <si>
    <t>BARVA</t>
  </si>
  <si>
    <t>Modra</t>
  </si>
  <si>
    <t>💡 NAPOTKI:</t>
  </si>
  <si>
    <t>• Dodaj novo kategorijo tako, da vpišeš ime v prazno vrstico</t>
  </si>
  <si>
    <t>• Kategorije se avtomatsko posodobijo v dropdownih</t>
  </si>
  <si>
    <t>• Če izbrišeš kategorijo, se bo odstranila iz vseh seznamov</t>
  </si>
  <si>
    <t>💼 ČISTOPIS - Stanje na računu</t>
  </si>
  <si>
    <t>Mesečni pregled stanja - prihodki, stroški in akumulirano stanje</t>
  </si>
  <si>
    <t>MESEC</t>
  </si>
  <si>
    <t>PRIHODKI</t>
  </si>
  <si>
    <t>STROŠKI</t>
  </si>
  <si>
    <t>PRIHRANKI</t>
  </si>
  <si>
    <t>STANJE NA RAČUNU</t>
  </si>
  <si>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</si>
  <si>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</si>
  <si>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</si>
  <si>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</si>
  <si>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</si>
  <si>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</si>
  <si>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</si>
  <si>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</si>
  <si>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</si>
  <si>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>Okt</t>
  </si>
  <si>
    <t>Nov</t>
  </si>
  <si>
    <t>Dec</t>
  </si>
  <si>
    <t>SKUPAJ</t>
  </si>
  <si>
    <t>💰 MESEČNI PRIHODKI</t>
  </si>
  <si>
    <t>Vnesi koliko si zaslužil vsak mesec (študentsko delo, drugo)</t>
  </si>
  <si>
    <t>PRIHODKI (€)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</si>
  <si>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</si>
  <si>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</si>
  <si>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</si>
  <si>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</si>
  <si>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</si>
  <si>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</si>
  <si>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</si>
  <si>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</si>
  <si>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</si>
  <si>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</si>
  <si>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</si>
  <si>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</si>
  <si>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</si>
  <si>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</si>
  <si>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</si>
  <si>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</si>
  <si>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</si>
  <si>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</si>
  <si>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</si>
  <si>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</si>
  <si>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</si>
  <si>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</si>
  <si>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</si>
  <si>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</si>
  <si>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📝 VNOS STROŠKOV</t>
  </si>
  <si>
    <t>Vnašaj stroške po datumih. Stroški se avtomatsko seštevajo v mesečnem pregledu.</t>
  </si>
  <si>
    <t>DATUM</t>
  </si>
  <si>
    <t>NAZIV STROŠKA</t>
  </si>
  <si>
    <t>ZNESEK (€)</t>
  </si>
  <si>
    <t>ChatGPT</t>
  </si>
  <si>
    <t>Claude ai</t>
  </si>
  <si>
    <t xml:space="preserve">Zavarovanje avta </t>
  </si>
  <si>
    <t>SPAR MOZIRJE</t>
  </si>
  <si>
    <t>MOL 13406 BS Letus</t>
  </si>
  <si>
    <t>OTP BANKA D.D. /OTP MO</t>
  </si>
  <si>
    <t>HOFER hvala</t>
  </si>
  <si>
    <t>MCDONALDS VELENJE</t>
  </si>
  <si>
    <t>Delikomat SI 31674</t>
  </si>
  <si>
    <t>PETROL BS NAZARJE</t>
  </si>
  <si>
    <t>OPENAI *CHATGPT SUBSCR</t>
  </si>
  <si>
    <t>LEKARNA MOZIRJE</t>
  </si>
  <si>
    <t>AMETI BAJRAMALI S.P.</t>
  </si>
  <si>
    <t>HIPERMARKET VELENJE</t>
  </si>
  <si>
    <t>PETROL BS VELENJE - CE</t>
  </si>
  <si>
    <t>Varčevanje</t>
  </si>
  <si>
    <t>TELEMACH SLOVENIJA</t>
  </si>
  <si>
    <t>PAYPAL</t>
  </si>
  <si>
    <t>NADOMESTILO ZA DIREKTNO OBREMENITEV</t>
  </si>
  <si>
    <t>DOBA EPIS D.O.O.</t>
  </si>
  <si>
    <t>Delikomat SI 31681</t>
  </si>
  <si>
    <t>SIMONA VILCNIK, S.P.</t>
  </si>
  <si>
    <t>Daktari kavarna klub</t>
  </si>
  <si>
    <t>ROZA SLON</t>
  </si>
  <si>
    <t>HOSTEL ZZZ - SANK</t>
  </si>
  <si>
    <t>JAGER TRG. BRASLOVCE</t>
  </si>
  <si>
    <t>OTP BANKA D.D. /TRGOVI</t>
  </si>
  <si>
    <t>VZAJEMNA D.V.Z.</t>
  </si>
  <si>
    <t>PRENOS NA KARTICO</t>
  </si>
  <si>
    <t>DM - S051</t>
  </si>
  <si>
    <t>FOOD BAR PARK</t>
  </si>
  <si>
    <t>SUPERMARKET POLZELA</t>
  </si>
  <si>
    <t>Okrepcevalnica Riza Ke</t>
  </si>
  <si>
    <t>PETROL BS SEMPETER V S</t>
  </si>
  <si>
    <t>TAKOJŠNJE PLAČILO - ODLIV</t>
  </si>
  <si>
    <t>TRZNICA</t>
  </si>
  <si>
    <t>Delikomat SI 31607</t>
  </si>
  <si>
    <t>PETROL BS VELENJE - PA</t>
  </si>
  <si>
    <t>TELEMACH SLOVENIJA D.O.O.</t>
  </si>
  <si>
    <t>LEKARNA POLZELA</t>
  </si>
  <si>
    <t>MCDONALDS CELJE DRIVE</t>
  </si>
  <si>
    <t>PIZZERIA AFRIKA</t>
  </si>
  <si>
    <t>PETROL BS VRANSKO</t>
  </si>
  <si>
    <t>VELIKI HONG KONG</t>
  </si>
  <si>
    <t>MOJE TVOJE</t>
  </si>
  <si>
    <t>Gelateria-Romantika</t>
  </si>
  <si>
    <t>Tozd-bar</t>
  </si>
  <si>
    <t>BRUNARICA JEZERO</t>
  </si>
  <si>
    <t>LIDL-SI 223</t>
  </si>
  <si>
    <t>PE VELENJE</t>
  </si>
  <si>
    <t>PETROL BS SENTRUPERT</t>
  </si>
  <si>
    <t>T LOFT</t>
  </si>
  <si>
    <t>PARKIRNA HISA</t>
  </si>
  <si>
    <t>MOL 93671 VELENJE</t>
  </si>
  <si>
    <t>INTERSPAR KRANJ</t>
  </si>
  <si>
    <t>DVIG - TROJNI PLUS</t>
  </si>
  <si>
    <t>MA NALOZBE</t>
  </si>
  <si>
    <t>SUMUP *ALES PUKLIC S.</t>
  </si>
  <si>
    <t>Decathlon Celje</t>
  </si>
  <si>
    <t>TUS HM PLANET CELJE</t>
  </si>
  <si>
    <t>JYSK D.O.O.,Poslov</t>
  </si>
  <si>
    <t>BIG BANG CELJE</t>
  </si>
  <si>
    <t>PETROL BS CELJE - CITY</t>
  </si>
  <si>
    <t>LIDL-SI 217</t>
  </si>
  <si>
    <t>KITAJSKI CENTER CELJE</t>
  </si>
  <si>
    <t>SUPERMARKET KISOVEC</t>
  </si>
  <si>
    <t>ALPE PANON PE SMARTINK</t>
  </si>
  <si>
    <t>SPAR SEMPETER</t>
  </si>
  <si>
    <t>DM - S04E</t>
  </si>
  <si>
    <t>PREMIUM PET CITYPARK</t>
  </si>
  <si>
    <t>CS KITAJSKI CENTER</t>
  </si>
  <si>
    <t>Azijska-Ginko</t>
  </si>
  <si>
    <t>PETROL BS LJUBLJANA AC</t>
  </si>
  <si>
    <t>PETROL BS LOM AC - VZH</t>
  </si>
  <si>
    <t>PETROL BS LUKOVICA AC</t>
  </si>
  <si>
    <t>MERCATOR SM SMARTNO</t>
  </si>
  <si>
    <t>ŠC VELENJE</t>
  </si>
  <si>
    <t>TRGOVINE JAGER MOZIRJE</t>
  </si>
  <si>
    <t>SUPERMARKET MOZIRJE</t>
  </si>
  <si>
    <t>LUNCHIT</t>
  </si>
  <si>
    <t>OTP BANKA D.D. /TUS MO</t>
  </si>
  <si>
    <t>MARKET NOTRANJE GORICE</t>
  </si>
  <si>
    <t>📊 MESEČNI PREGLED</t>
  </si>
  <si>
    <t>📈 GRAFI</t>
  </si>
  <si>
    <t>gice alessia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</si>
</sst>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dd\.mm\.yyyy"/>
  </numFmts>
  <fonts count="9" x14ac:knownFonts="1">
    <font>
      <sz val="12"/>
      <color theme="1"/>
      <name val="Calibri"/>
      <family val="2"/>
      <scheme val="minor"/>
    </font>
    <font>
      <b/>
      <sz val="16"/>
      <color rgb="FF2C3E50"/>
      <name val="Calibri"/>
    </font>
    <font>
      <i/>
      <sz val="9"/>
      <color rgb="FF7F8C8D"/>
      <name val="Calibri"/>
    </font>
    <font>
      <b/>
      <sz val="11"/>
      <color rgb="FFFFFFFF"/>
      <name val="Calibri"/>
    </font>
    <font>
      <sz val="10"/>
      <color rgb="FF2C3E50"/>
      <name val="Calibri"/>
    </font>
    <font>
      <sz val="8"/>
      <color rgb="FFECF0F1"/>
      <name val="Calibri"/>
    </font>
    <font>
      <b/>
      <sz val="10"/>
      <color rgb="FF27AE60"/>
      <name val="Calibri"/>
    </font>
    <font>
      <b/>
      <sz val="12"/>
      <color rgb="FFFFFFFF"/>
      <name val="Calibri"/>
    </font>
    <font>
      <b/>
      <sz val="18"/>
      <color rgb="FF2C3E5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3498DB"/>
        <bgColor rgb="FF3498DB"/>
      </patternFill>
    </fill>
    <fill>
      <patternFill patternType="solid">
        <fgColor rgb="FF27AE60"/>
        <bgColor rgb="FF27AE6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CF0F1"/>
      </left>
      <right style="thin">
        <color rgb="FFECF0F1"/>
      </right>
      <top style="thin">
        <color rgb="FFECF0F1"/>
      </top>
      <bottom style="thin">
        <color rgb="FFECF0F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3" fillId="3" borderId="0" xfId="0" applyFont="1" applyFill="1"/>
    <xf numFmtId="164" fontId="3" fillId="3" borderId="0" xfId="0" applyNumberFormat="1" applyFont="1" applyFill="1" applyAlignment="1">
      <alignment horizontal="right" vertical="center"/>
    </xf>
    <xf numFmtId="164" fontId="7" fillId="5" borderId="0" xfId="0" applyNumberFormat="1" applyFont="1" applyFill="1" applyAlignment="1">
      <alignment horizontal="right" vertical="center"/>
    </xf>
    <xf numFmtId="165" fontId="0" fillId="0" borderId="0" xfId="0" applyNumberFormat="1"/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/>
    <xf numFmtId="0" fontId="8" fillId="0" borderId="0" xfId="0" applyFont="1"/>
    <xf numFmtId="0" fontId="2" fillId="0" borderId="0" xfId="0" applyFont="1"/>
    <xf numFmtId="0" fontId="1" fillId="0" borderId="0" xfId="0" applyFont="1"/>
  </cellXfs>
  <cellStyles count="1">
    <cellStyle name="Navadno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1"/>
  <c:style val="10"/>
  <c:chart>
    <c:title>
      <c:tx>
        <c:rich>
          <a:bodyPr/>
          <a:lstStyle/>
          <a:p>
            <a:pPr>
              <a:defRPr/>
            </a:pPr>
            <a:r>
              <a:t>Razporeditev stroškov po kategorijah (tekočiměsec)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'📊 Mesečni pregled'!$B$3</c:f>
              <c:strCache>
                <c:ptCount val="1"/>
                <c:pt idx="0">
                  <c:v>Jan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'📊 Mesečni pregled'!$A$4:$A$11</c:f>
              <c:strCache>
                <c:ptCount val="8"/>
                <c:pt idx="0">
                  <c:v>Fiksni stroški</c:v>
                </c:pt>
                <c:pt idx="1">
                  <c:v>Hrana</c:v>
                </c:pt>
                <c:pt idx="2">
                  <c:v>Transport</c:v>
                </c:pt>
                <c:pt idx="3">
                  <c:v>Zabava</c:v>
                </c:pt>
                <c:pt idx="4">
                  <c:v>Oblačila</c:v>
                </c:pt>
                <c:pt idx="5">
                  <c:v>Zdravstvo</c:v>
                </c:pt>
                <c:pt idx="6">
                  <c:v>Šport/Fitnes</c:v>
                </c:pt>
                <c:pt idx="7">
                  <c:v>Ostalo</c:v>
                </c:pt>
              </c:strCache>
            </c:strRef>
          </c:cat>
          <c:val>
            <c:numRef>
              <c:f>'📊 Mesečni pregled'!$B$4:$B$11</c:f>
              <c:numCache>
                <c:formatCode>#,##0.00\ \€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1-48CF-906E-B07B53389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1"/>
  <c:style val="11"/>
  <c:chart>
    <c:title>
      <c:tx>
        <c:rich>
          <a:bodyPr/>
          <a:lstStyle/>
          <a:p>
            <a:pPr>
              <a:defRPr/>
            </a:pPr>
            <a:r>
              <a:t>Mesečni stroški po mesecih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pregled'!$B$12</c:f>
              <c:numCache>
                <c:formatCode>#,##0.00\ \€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7-41DF-9050-822E99459FDA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pregled'!$C$12</c:f>
              <c:numCache>
                <c:formatCode>#,##0.00\ \€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C7-41DF-9050-822E99459FDA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pregled'!$D$12</c:f>
              <c:numCache>
                <c:formatCode>#,##0.00\ \€</c:formatCode>
                <c:ptCount val="1"/>
                <c:pt idx="0">
                  <c:v>1018.1600000000001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C7-41DF-9050-822E99459FDA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pregled'!$E$12</c:f>
              <c:numCache>
                <c:formatCode>#,##0.00\ \€</c:formatCode>
                <c:ptCount val="1"/>
                <c:pt idx="0">
                  <c:v>1925.3700000000001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C7-41DF-9050-822E99459FDA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pregled'!$F$12</c:f>
              <c:numCache>
                <c:formatCode>#,##0.00\ \€</c:formatCode>
                <c:ptCount val="1"/>
                <c:pt idx="0">
                  <c:v>1140.3200000000002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C7-41DF-9050-822E99459FDA}"/>
            </c:ext>
          </c:extLst>
        </c:ser>
        <c:ser>
          <c:idx val="5"/>
          <c:order val="5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pregled'!$G$12</c:f>
              <c:numCache>
                <c:formatCode>#,##0.00\ \€</c:formatCode>
                <c:ptCount val="1"/>
                <c:pt idx="0">
                  <c:v>1137.8200000000002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C7-41DF-9050-822E99459FDA}"/>
            </c:ext>
          </c:extLst>
        </c:ser>
        <c:ser>
          <c:idx val="6"/>
          <c:order val="6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pregled'!$H$12</c:f>
              <c:numCache>
                <c:formatCode>#,##0.00\ \€</c:formatCode>
                <c:ptCount val="1"/>
                <c:pt idx="0">
                  <c:v>1398.89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C7-41DF-9050-822E99459FDA}"/>
            </c:ext>
          </c:extLst>
        </c:ser>
        <c:ser>
          <c:idx val="7"/>
          <c:order val="7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pregled'!$I$12</c:f>
              <c:numCache>
                <c:formatCode>#,##0.00\ \€</c:formatCode>
                <c:ptCount val="1"/>
                <c:pt idx="0">
                  <c:v>747.8900000000001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C7-41DF-9050-822E99459FDA}"/>
            </c:ext>
          </c:extLst>
        </c:ser>
        <c:ser>
          <c:idx val="8"/>
          <c:order val="8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pregled'!$J$12</c:f>
              <c:numCache>
                <c:formatCode>#,##0.00\ \€</c:formatCode>
                <c:ptCount val="1"/>
                <c:pt idx="0">
                  <c:v>759.7600000000001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C7-41DF-9050-822E99459FDA}"/>
            </c:ext>
          </c:extLst>
        </c:ser>
        <c:ser>
          <c:idx val="9"/>
          <c:order val="9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pregled'!$K$12</c:f>
              <c:numCache>
                <c:formatCode>#,##0.00\ \€</c:formatCode>
                <c:ptCount val="1"/>
                <c:pt idx="0">
                  <c:v>812.06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C7-41DF-9050-822E99459FDA}"/>
            </c:ext>
          </c:extLst>
        </c:ser>
        <c:ser>
          <c:idx val="10"/>
          <c:order val="10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pregled'!$L$12</c:f>
              <c:numCache>
                <c:formatCode>#,##0.00\ \€</c:formatCode>
                <c:ptCount val="1"/>
                <c:pt idx="0">
                  <c:v>267.64999999999998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C7-41DF-9050-822E99459FDA}"/>
            </c:ext>
          </c:extLst>
        </c:ser>
        <c:ser>
          <c:idx val="11"/>
          <c:order val="11"/>
          <c:spPr>
            <a:ln>
              <a:prstDash val="solid"/>
            </a:ln>
          </c:spPr>
          <c:invertIfNegative val="1"/>
          <c:cat>
            <c:strRef>
              <c:f>'📊 Mesečni pregled'!$B$3:$M$3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Mesečni pregled'!$M$12</c:f>
              <c:numCache>
                <c:formatCode>#,##0.00\ \€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BC7-41DF-9050-822E99459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Mesec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Znesek (€)</a:t>
                </a:r>
              </a:p>
            </c:rich>
          </c:tx>
          <c:overlay val="1"/>
        </c:title>
        <c:numFmt formatCode="#,##0.00\ \€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1"/>
  <c:style val="12"/>
  <c:chart>
    <c:title>
      <c:tx>
        <c:rich>
          <a:bodyPr/>
          <a:lstStyle/>
          <a:p>
            <a:pPr>
              <a:defRPr/>
            </a:pPr>
            <a:r>
              <a:t>Trend stanja na računu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'💼 Čistopis'!$E$4</c:f>
              <c:strCache>
                <c:ptCount val="1"/>
                <c:pt idx="0">
                  <c:v>STANJE NA RAČUNU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'💼 Čistopis'!$A$5:$A$16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'💼 Čistopis'!$E$5:$E$16</c:f>
              <c:numCache>
                <c:formatCode>#,##0.00\ \€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799.83999999999992</c:v>
                </c:pt>
                <c:pt idx="3">
                  <c:v>-170.73000000000025</c:v>
                </c:pt>
                <c:pt idx="4">
                  <c:v>-86.630000000000337</c:v>
                </c:pt>
                <c:pt idx="5">
                  <c:v>-321.96000000000049</c:v>
                </c:pt>
                <c:pt idx="6">
                  <c:v>-618.36000000000058</c:v>
                </c:pt>
                <c:pt idx="7">
                  <c:v>-300.69000000000074</c:v>
                </c:pt>
                <c:pt idx="8">
                  <c:v>-432.63000000000079</c:v>
                </c:pt>
                <c:pt idx="9">
                  <c:v>-463.13000000000079</c:v>
                </c:pt>
                <c:pt idx="10">
                  <c:v>368.41999999999928</c:v>
                </c:pt>
                <c:pt idx="11">
                  <c:v>368.41999999999928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4C-49AA-A319-6A436345F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Mesec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Stanje (€)</a:t>
                </a:r>
              </a:p>
            </c:rich>
          </c:tx>
          <c:overlay val="1"/>
        </c:title>
        <c:numFmt formatCode="#,##0.00\ \€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792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792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showGridLines="0" topLeftCell="A24" workbookViewId="0">
      <selection activeCell="B11" sqref="B11:B13"/>
    </sheetView>
  </sheetViews>
  <sheetFormatPr defaultRowHeight="15.75" x14ac:dyDescent="0.25"/>
  <cols>
    <col min="1" max="1" width="24.5" bestFit="1" customWidth="1"/>
    <col min="2" max="2" width="8.5" bestFit="1" customWidth="1"/>
  </cols>
  <sheetData>
    <row r="1" spans="1:5" ht="23.25" x14ac:dyDescent="0.35">
      <c r="A1" s="15" t="s">
        <v>0</v>
      </c>
      <c r="B1" s="14"/>
      <c r="C1" s="14"/>
      <c r="D1" s="14"/>
      <c r="E1" s="14"/>
    </row>
    <row r="2" spans="1:5" x14ac:dyDescent="0.25">
      <c r="A2" s="14" t="s">
        <v>1</v>
      </c>
      <c r="B2" s="14"/>
      <c r="C2" s="14"/>
      <c r="D2" s="14"/>
      <c r="E2" s="14"/>
    </row>
    <row r="4" spans="1:5" x14ac:dyDescent="0.25">
      <c r="A4" s="14" t="s">
        <v>2</v>
      </c>
      <c r="B4" s="14"/>
      <c r="D4" s="14" t="s">
        <v>3</v>
      </c>
      <c r="E4" s="14"/>
    </row>
    <row r="5" spans="1:5" x14ac:dyDescent="0.25">
      <c r="A5" s="14">
        <f>'💰 Prihodki'!B29</f>
        <v>0</v>
      </c>
      <c r="B5" s="14"/>
      <c r="D5" s="14">
        <f>SUM('📊 Mesečni pregled'!B12:M12)</f>
        <v>9207.92</v>
      </c>
      <c r="E5" s="14"/>
    </row>
    <row r="6" spans="1:5" x14ac:dyDescent="0.25">
      <c r="A6" s="14"/>
      <c r="B6" s="14"/>
    </row>
    <row r="7" spans="1:5" x14ac:dyDescent="0.25">
      <c r="A7" s="14" t="s">
        <v>4</v>
      </c>
      <c r="B7" s="14"/>
    </row>
    <row r="8" spans="1:5" x14ac:dyDescent="0.25">
      <c r="A8" s="14">
        <f>A5-D5</f>
        <v>-9207.92</v>
      </c>
      <c r="B8" s="14"/>
    </row>
    <row r="9" spans="1:5" x14ac:dyDescent="0.25">
      <c r="A9" s="14"/>
      <c r="B9" s="14"/>
    </row>
    <row r="10" spans="1:5" x14ac:dyDescent="0.25">
      <c r="A10" s="14" t="s">
        <v>5</v>
      </c>
      <c r="B10" s="14"/>
    </row>
    <row r="11" spans="1:5" x14ac:dyDescent="0.25">
      <c r="A11" t="s">
        <v>6</v>
      </c>
      <c r="B11">
        <f>AVERAGE('📊 Mesečni pregled'!B5:B28)</f>
        <v>0</v>
      </c>
    </row>
    <row r="12" spans="1:5" x14ac:dyDescent="0.25">
      <c r="A12" t="s">
        <v>7</v>
      </c>
      <c r="B12">
        <f>AVERAGE('📊 Mesečni pregled'!K5:K28)</f>
        <v>193.82499999999999</v>
      </c>
    </row>
    <row r="13" spans="1:5" x14ac:dyDescent="0.25">
      <c r="A13" t="s">
        <v>8</v>
      </c>
      <c r="B13">
        <f>B11-B12</f>
        <v>-193.82499999999999</v>
      </c>
    </row>
    <row r="15" spans="1:5" x14ac:dyDescent="0.25">
      <c r="A15" s="14" t="s">
        <v>9</v>
      </c>
      <c r="B15" s="14"/>
    </row>
    <row r="16" spans="1:5" x14ac:dyDescent="0.25">
      <c r="A16" t="s">
        <v>10</v>
      </c>
      <c r="B16">
        <f>'📊 Mesečni pregled'!C29</f>
        <v>0</v>
      </c>
    </row>
    <row r="17" spans="1:5" x14ac:dyDescent="0.25">
      <c r="A17" t="s">
        <v>11</v>
      </c>
      <c r="B17">
        <f>'📊 Mesečni pregled'!D29</f>
        <v>0</v>
      </c>
    </row>
    <row r="18" spans="1:5" x14ac:dyDescent="0.25">
      <c r="A18" t="s">
        <v>12</v>
      </c>
      <c r="B18">
        <f>'📊 Mesečni pregled'!E29</f>
        <v>0</v>
      </c>
    </row>
    <row r="19" spans="1:5" x14ac:dyDescent="0.25">
      <c r="A19" t="s">
        <v>13</v>
      </c>
      <c r="B19">
        <f>'📊 Mesečni pregled'!F29</f>
        <v>0</v>
      </c>
    </row>
    <row r="20" spans="1:5" x14ac:dyDescent="0.25">
      <c r="A20" t="s">
        <v>14</v>
      </c>
      <c r="B20">
        <f>'📊 Mesečni pregled'!G29</f>
        <v>0</v>
      </c>
    </row>
    <row r="21" spans="1:5" x14ac:dyDescent="0.25">
      <c r="A21" t="s">
        <v>15</v>
      </c>
      <c r="B21">
        <f>'📊 Mesečni pregled'!H29</f>
        <v>0</v>
      </c>
    </row>
    <row r="22" spans="1:5" x14ac:dyDescent="0.25">
      <c r="A22" t="s">
        <v>16</v>
      </c>
      <c r="B22">
        <f>'📊 Mesečni pregled'!I29</f>
        <v>0</v>
      </c>
    </row>
    <row r="23" spans="1:5" x14ac:dyDescent="0.25">
      <c r="A23" t="s">
        <v>17</v>
      </c>
      <c r="B23">
        <f>'📊 Mesečni pregled'!J29</f>
        <v>0</v>
      </c>
    </row>
    <row r="26" spans="1:5" x14ac:dyDescent="0.25">
      <c r="A26" t="s">
        <v>18</v>
      </c>
    </row>
    <row r="27" spans="1:5" x14ac:dyDescent="0.25">
      <c r="A27" s="14" t="s">
        <v>19</v>
      </c>
      <c r="B27" s="14"/>
      <c r="C27" s="14"/>
      <c r="D27" s="14"/>
      <c r="E27" s="14"/>
    </row>
    <row r="28" spans="1:5" x14ac:dyDescent="0.25">
      <c r="A28" s="14" t="s">
        <v>20</v>
      </c>
      <c r="B28" s="14"/>
      <c r="C28" s="14"/>
      <c r="D28" s="14"/>
      <c r="E28" s="14"/>
    </row>
    <row r="29" spans="1:5" x14ac:dyDescent="0.25">
      <c r="A29" s="14" t="s">
        <v>21</v>
      </c>
      <c r="B29" s="14"/>
      <c r="C29" s="14"/>
      <c r="D29" s="14"/>
      <c r="E29" s="14"/>
    </row>
    <row r="30" spans="1:5" x14ac:dyDescent="0.25">
      <c r="A30" s="14"/>
      <c r="B30" s="14"/>
      <c r="C30" s="14"/>
      <c r="D30" s="14"/>
      <c r="E30" s="14"/>
    </row>
    <row r="31" spans="1:5" x14ac:dyDescent="0.25">
      <c r="A31" s="14" t="s">
        <v>22</v>
      </c>
      <c r="B31" s="14"/>
      <c r="C31" s="14"/>
      <c r="D31" s="14"/>
      <c r="E31" s="14"/>
    </row>
    <row r="32" spans="1:5" x14ac:dyDescent="0.25">
      <c r="A32" s="14" t="s">
        <v>23</v>
      </c>
      <c r="B32" s="14"/>
      <c r="C32" s="14"/>
      <c r="D32" s="14"/>
      <c r="E32" s="14"/>
    </row>
    <row r="33" spans="1:5" x14ac:dyDescent="0.25">
      <c r="A33" s="14" t="s">
        <v>24</v>
      </c>
      <c r="B33" s="14"/>
      <c r="C33" s="14"/>
      <c r="D33" s="14"/>
      <c r="E33" s="14"/>
    </row>
    <row r="34" spans="1:5" x14ac:dyDescent="0.25">
      <c r="A34" s="14"/>
      <c r="B34" s="14"/>
      <c r="C34" s="14"/>
      <c r="D34" s="14"/>
      <c r="E34" s="14"/>
    </row>
    <row r="35" spans="1:5" x14ac:dyDescent="0.25">
      <c r="A35" s="14" t="s">
        <v>25</v>
      </c>
      <c r="B35" s="14"/>
      <c r="C35" s="14"/>
      <c r="D35" s="14"/>
      <c r="E35" s="14"/>
    </row>
    <row r="36" spans="1:5" x14ac:dyDescent="0.25">
      <c r="A36" s="14" t="s">
        <v>26</v>
      </c>
      <c r="B36" s="14"/>
      <c r="C36" s="14"/>
      <c r="D36" s="14"/>
      <c r="E36" s="14"/>
    </row>
    <row r="37" spans="1:5" x14ac:dyDescent="0.25">
      <c r="A37" s="14" t="s">
        <v>27</v>
      </c>
      <c r="B37" s="14"/>
      <c r="C37" s="14"/>
      <c r="D37" s="14"/>
      <c r="E37" s="14"/>
    </row>
    <row r="38" spans="1:5" x14ac:dyDescent="0.25">
      <c r="A38" s="14" t="s">
        <v>28</v>
      </c>
      <c r="B38" s="14"/>
      <c r="C38" s="14"/>
      <c r="D38" s="14"/>
      <c r="E38" s="14"/>
    </row>
    <row r="39" spans="1:5" x14ac:dyDescent="0.25">
      <c r="A39" s="14" t="s">
        <v>29</v>
      </c>
      <c r="B39" s="14"/>
      <c r="C39" s="14"/>
      <c r="D39" s="14"/>
      <c r="E39" s="14"/>
    </row>
    <row r="40" spans="1:5" x14ac:dyDescent="0.25">
      <c r="A40" s="14"/>
      <c r="B40" s="14"/>
      <c r="C40" s="14"/>
      <c r="D40" s="14"/>
      <c r="E40" s="14"/>
    </row>
    <row r="41" spans="1:5" x14ac:dyDescent="0.25">
      <c r="A41" s="14" t="s">
        <v>30</v>
      </c>
      <c r="B41" s="14"/>
      <c r="C41" s="14"/>
      <c r="D41" s="14"/>
      <c r="E41" s="14"/>
    </row>
    <row r="42" spans="1:5" x14ac:dyDescent="0.25">
      <c r="A42" s="14" t="s">
        <v>31</v>
      </c>
      <c r="B42" s="14"/>
      <c r="C42" s="14"/>
      <c r="D42" s="14"/>
      <c r="E42" s="14"/>
    </row>
    <row r="43" spans="1:5" x14ac:dyDescent="0.25">
      <c r="A43" s="14" t="s">
        <v>32</v>
      </c>
      <c r="B43" s="14"/>
      <c r="C43" s="14"/>
      <c r="D43" s="14"/>
      <c r="E43" s="14"/>
    </row>
  </sheetData>
  <mergeCells count="29">
    <mergeCell ref="A43:E43"/>
    <mergeCell ref="A38:E38"/>
    <mergeCell ref="A28:E28"/>
    <mergeCell ref="D5:E5"/>
    <mergeCell ref="A10:B10"/>
    <mergeCell ref="A31:E31"/>
    <mergeCell ref="A9:B9"/>
    <mergeCell ref="A40:E40"/>
    <mergeCell ref="A41:E41"/>
    <mergeCell ref="A37:E37"/>
    <mergeCell ref="A27:E27"/>
    <mergeCell ref="A2:E2"/>
    <mergeCell ref="A42:E42"/>
    <mergeCell ref="A5:B5"/>
    <mergeCell ref="A33:E33"/>
    <mergeCell ref="D4:E4"/>
    <mergeCell ref="A32:E32"/>
    <mergeCell ref="A8:B8"/>
    <mergeCell ref="A4:B4"/>
    <mergeCell ref="A29:E29"/>
    <mergeCell ref="A35:E35"/>
    <mergeCell ref="A30:E30"/>
    <mergeCell ref="A39:E39"/>
    <mergeCell ref="A34:E34"/>
    <mergeCell ref="A15:B15"/>
    <mergeCell ref="A1:E1"/>
    <mergeCell ref="A36:E36"/>
    <mergeCell ref="A6:B6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showGridLines="0" workbookViewId="0">
      <selection sqref="A1:B1"/>
    </sheetView>
  </sheetViews>
  <sheetFormatPr defaultRowHeight="15.75" x14ac:dyDescent="0.25"/>
  <sheetData>
    <row r="1" spans="1:2" ht="21" x14ac:dyDescent="0.35">
      <c r="A1" s="17" t="s">
        <v>33</v>
      </c>
      <c r="B1" s="14"/>
    </row>
    <row r="2" spans="1:2" x14ac:dyDescent="0.25">
      <c r="A2" s="16" t="s">
        <v>34</v>
      </c>
      <c r="B2" s="14"/>
    </row>
    <row r="4" spans="1:2" x14ac:dyDescent="0.25">
      <c r="A4" t="s">
        <v>35</v>
      </c>
      <c r="B4" t="s">
        <v>36</v>
      </c>
    </row>
    <row r="5" spans="1:2" x14ac:dyDescent="0.25">
      <c r="A5" t="s">
        <v>10</v>
      </c>
      <c r="B5" t="s">
        <v>37</v>
      </c>
    </row>
    <row r="6" spans="1:2" x14ac:dyDescent="0.25">
      <c r="A6" t="s">
        <v>11</v>
      </c>
      <c r="B6" t="s">
        <v>37</v>
      </c>
    </row>
    <row r="7" spans="1:2" x14ac:dyDescent="0.25">
      <c r="A7" t="s">
        <v>12</v>
      </c>
      <c r="B7" t="s">
        <v>37</v>
      </c>
    </row>
    <row r="8" spans="1:2" x14ac:dyDescent="0.25">
      <c r="A8" t="s">
        <v>13</v>
      </c>
      <c r="B8" t="s">
        <v>37</v>
      </c>
    </row>
    <row r="9" spans="1:2" x14ac:dyDescent="0.25">
      <c r="A9" t="s">
        <v>14</v>
      </c>
      <c r="B9" t="s">
        <v>37</v>
      </c>
    </row>
    <row r="10" spans="1:2" x14ac:dyDescent="0.25">
      <c r="A10" t="s">
        <v>15</v>
      </c>
      <c r="B10" t="s">
        <v>37</v>
      </c>
    </row>
    <row r="11" spans="1:2" x14ac:dyDescent="0.25">
      <c r="A11" t="s">
        <v>16</v>
      </c>
      <c r="B11" t="s">
        <v>37</v>
      </c>
    </row>
    <row r="12" spans="1:2" x14ac:dyDescent="0.25">
      <c r="A12" t="s">
        <v>17</v>
      </c>
      <c r="B12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  <row r="28" spans="1:1" x14ac:dyDescent="0.25">
      <c r="A28" t="s">
        <v>41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showGridLines="0" tabSelected="1" workbookViewId="0">
      <selection activeCell="G22" sqref="G22"/>
    </sheetView>
  </sheetViews>
  <sheetFormatPr defaultRowHeight="15.75" x14ac:dyDescent="0.25"/>
  <cols>
    <col min="1" max="1" width="15" customWidth="1"/>
    <col min="2" max="4" width="18" customWidth="1"/>
    <col min="5" max="5" width="20" customWidth="1"/>
  </cols>
  <sheetData>
    <row r="1" spans="1:5" ht="21" x14ac:dyDescent="0.35">
      <c r="A1" s="1" t="s">
        <v>42</v>
      </c>
    </row>
    <row r="2" spans="1:5" x14ac:dyDescent="0.25">
      <c r="A2" s="2" t="s">
        <v>43</v>
      </c>
    </row>
    <row r="4" spans="1:5" x14ac:dyDescent="0.25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</row>
    <row r="5" spans="1:5" x14ac:dyDescent="0.25">
      <c r="A5" s="4" t="s">
        <v>49</v>
      </c>
      <c r="B5" s="5">
        <v>0</v>
      </c>
      <c r="C5" s="5">
        <f>'📊 Mesečni pregled'!B12</f>
        <v>0</v>
      </c>
      <c r="D5" s="5">
        <f>B5-C5</f>
        <v>0</v>
      </c>
      <c r="E5" s="6">
        <f>D5</f>
        <v>0</v>
      </c>
    </row>
    <row r="6" spans="1:5" x14ac:dyDescent="0.25">
      <c r="A6" s="4" t="s">
        <v>50</v>
      </c>
      <c r="B6" s="5">
        <f>IFERROR('💰 Prihodki'!B5,0)</f>
        <v>0</v>
      </c>
      <c r="C6" s="5">
        <f>'📊 Mesečni pregled'!C12</f>
        <v>0</v>
      </c>
      <c r="D6" s="5">
        <f t="shared" ref="D5:D16" si="0">B6-C6</f>
        <v>0</v>
      </c>
      <c r="E6" s="6">
        <f t="shared" ref="E6:E16" si="1">E5+D6</f>
        <v>0</v>
      </c>
    </row>
    <row r="7" spans="1:5" x14ac:dyDescent="0.25">
      <c r="A7" s="4" t="s">
        <v>51</v>
      </c>
      <c r="B7" s="5">
        <v>1818</v>
      </c>
      <c r="C7" s="5">
        <f>'📊 Mesečni pregled'!D12</f>
        <v>1018.1600000000001</v>
      </c>
      <c r="D7" s="5">
        <f t="shared" si="0"/>
        <v>799.83999999999992</v>
      </c>
      <c r="E7" s="6">
        <f t="shared" si="1"/>
        <v>799.83999999999992</v>
      </c>
    </row>
    <row r="8" spans="1:5" x14ac:dyDescent="0.25">
      <c r="A8" s="4" t="s">
        <v>52</v>
      </c>
      <c r="B8" s="5">
        <f>IFERROR('💰 Prihodki'!B7,0)</f>
        <v>954.8</v>
      </c>
      <c r="C8" s="5">
        <f>'📊 Mesečni pregled'!E12</f>
        <v>1925.3700000000001</v>
      </c>
      <c r="D8" s="5">
        <f t="shared" si="0"/>
        <v>-970.57000000000016</v>
      </c>
      <c r="E8" s="6">
        <f t="shared" si="1"/>
        <v>-170.73000000000025</v>
      </c>
    </row>
    <row r="9" spans="1:5" x14ac:dyDescent="0.25">
      <c r="A9" s="4" t="s">
        <v>53</v>
      </c>
      <c r="B9" s="5">
        <f>IFERROR('💰 Prihodki'!B8,0)</f>
        <v>1224.42</v>
      </c>
      <c r="C9" s="5">
        <f>'📊 Mesečni pregled'!F12</f>
        <v>1140.3200000000002</v>
      </c>
      <c r="D9" s="5">
        <f t="shared" si="0"/>
        <v>84.099999999999909</v>
      </c>
      <c r="E9" s="6">
        <f t="shared" si="1"/>
        <v>-86.630000000000337</v>
      </c>
    </row>
    <row r="10" spans="1:5" x14ac:dyDescent="0.25">
      <c r="A10" s="4" t="s">
        <v>54</v>
      </c>
      <c r="B10" s="5">
        <f>IFERROR('💰 Prihodki'!B9,0)</f>
        <v>902.49</v>
      </c>
      <c r="C10" s="5">
        <f>'📊 Mesečni pregled'!G12</f>
        <v>1137.8200000000002</v>
      </c>
      <c r="D10" s="5">
        <f t="shared" si="0"/>
        <v>-235.33000000000015</v>
      </c>
      <c r="E10" s="6">
        <f t="shared" si="1"/>
        <v>-321.96000000000049</v>
      </c>
    </row>
    <row r="11" spans="1:5" x14ac:dyDescent="0.25">
      <c r="A11" s="4" t="s">
        <v>55</v>
      </c>
      <c r="B11" s="5">
        <f>IFERROR('💰 Prihodki'!B10,0)</f>
        <v>1102.49</v>
      </c>
      <c r="C11" s="5">
        <f>'📊 Mesečni pregled'!H12</f>
        <v>1398.89</v>
      </c>
      <c r="D11" s="5">
        <f t="shared" si="0"/>
        <v>-296.40000000000009</v>
      </c>
      <c r="E11" s="6">
        <f t="shared" si="1"/>
        <v>-618.36000000000058</v>
      </c>
    </row>
    <row r="12" spans="1:5" x14ac:dyDescent="0.25">
      <c r="A12" s="4" t="s">
        <v>56</v>
      </c>
      <c r="B12" s="5">
        <f>IFERROR('💰 Prihodki'!B11,0)</f>
        <v>1065.56</v>
      </c>
      <c r="C12" s="5">
        <f>'📊 Mesečni pregled'!I12</f>
        <v>747.8900000000001</v>
      </c>
      <c r="D12" s="5">
        <f t="shared" si="0"/>
        <v>317.66999999999985</v>
      </c>
      <c r="E12" s="6">
        <f t="shared" si="1"/>
        <v>-300.69000000000074</v>
      </c>
    </row>
    <row r="13" spans="1:5" x14ac:dyDescent="0.25">
      <c r="A13" s="4" t="s">
        <v>57</v>
      </c>
      <c r="B13" s="5">
        <f>IFERROR('💰 Prihodki'!B12,0)</f>
        <v>627.82000000000005</v>
      </c>
      <c r="C13" s="5">
        <f>'📊 Mesečni pregled'!J12</f>
        <v>759.7600000000001</v>
      </c>
      <c r="D13" s="5">
        <f t="shared" si="0"/>
        <v>-131.94000000000005</v>
      </c>
      <c r="E13" s="6">
        <f t="shared" si="1"/>
        <v>-432.63000000000079</v>
      </c>
    </row>
    <row r="14" spans="1:5" x14ac:dyDescent="0.25">
      <c r="A14" s="4" t="s">
        <v>58</v>
      </c>
      <c r="B14" s="5">
        <f>IFERROR('💰 Prihodki'!B13,0)</f>
        <v>781.56</v>
      </c>
      <c r="C14" s="5">
        <f>'📊 Mesečni pregled'!K12</f>
        <v>812.06</v>
      </c>
      <c r="D14" s="5">
        <f t="shared" si="0"/>
        <v>-30.5</v>
      </c>
      <c r="E14" s="6">
        <f t="shared" si="1"/>
        <v>-463.13000000000079</v>
      </c>
    </row>
    <row r="15" spans="1:5" x14ac:dyDescent="0.25">
      <c r="A15" s="4" t="s">
        <v>59</v>
      </c>
      <c r="B15" s="5">
        <f>IFERROR('💰 Prihodki'!B14,0)</f>
        <v>1099.2</v>
      </c>
      <c r="C15" s="5">
        <f>'📊 Mesečni pregled'!L12</f>
        <v>267.64999999999998</v>
      </c>
      <c r="D15" s="5">
        <f t="shared" si="0"/>
        <v>831.55000000000007</v>
      </c>
      <c r="E15" s="6">
        <f t="shared" si="1"/>
        <v>368.41999999999928</v>
      </c>
    </row>
    <row r="16" spans="1:5" x14ac:dyDescent="0.25">
      <c r="A16" s="4" t="s">
        <v>60</v>
      </c>
      <c r="B16" s="5">
        <f>IFERROR('💰 Prihodki'!B15,0)</f>
        <v>0</v>
      </c>
      <c r="C16" s="5">
        <f>'📊 Mesečni pregled'!M12</f>
        <v>0</v>
      </c>
      <c r="D16" s="5">
        <f t="shared" si="0"/>
        <v>0</v>
      </c>
      <c r="E16" s="6">
        <f t="shared" si="1"/>
        <v>368.41999999999928</v>
      </c>
    </row>
    <row r="17" spans="1:5" x14ac:dyDescent="0.25">
      <c r="A17" s="7" t="s">
        <v>61</v>
      </c>
      <c r="B17" s="8">
        <f>SUM(B5:B16)</f>
        <v>9576.34</v>
      </c>
      <c r="C17" s="8">
        <f>SUM(C5:C16)</f>
        <v>9207.92</v>
      </c>
      <c r="D17" s="8">
        <f>SUM(D5:D16)</f>
        <v>368.41999999999928</v>
      </c>
      <c r="E17" s="9">
        <f>E16</f>
        <v>368.41999999999928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showGridLines="0" workbookViewId="0">
      <selection activeCell="D16" sqref="D16"/>
    </sheetView>
  </sheetViews>
  <sheetFormatPr defaultRowHeight="15.75" x14ac:dyDescent="0.25"/>
  <sheetData>
    <row r="1" spans="1:2" ht="21" x14ac:dyDescent="0.35">
      <c r="A1" s="1" t="s">
        <v>62</v>
      </c>
    </row>
    <row r="2" spans="1:2" x14ac:dyDescent="0.25">
      <c r="A2" t="s">
        <v>63</v>
      </c>
    </row>
    <row r="4" spans="1:2" x14ac:dyDescent="0.25">
      <c r="A4" t="s">
        <v>44</v>
      </c>
      <c r="B4" t="s">
        <v>64</v>
      </c>
    </row>
    <row r="5" spans="1:2" x14ac:dyDescent="0.25">
      <c r="A5" t="s">
        <v>65</v>
      </c>
      <c r="B5">
        <v>0</v>
      </c>
    </row>
    <row r="6" spans="1:2" x14ac:dyDescent="0.25">
      <c r="A6" t="s">
        <v>66</v>
      </c>
      <c r="B6">
        <v>0</v>
      </c>
    </row>
    <row r="7" spans="1:2" x14ac:dyDescent="0.25">
      <c r="A7" t="s">
        <v>67</v>
      </c>
      <c r="B7">
        <v>954.8</v>
      </c>
    </row>
    <row r="8" spans="1:2" x14ac:dyDescent="0.25">
      <c r="A8" t="s">
        <v>68</v>
      </c>
      <c r="B8">
        <v>1224.42</v>
      </c>
    </row>
    <row r="9" spans="1:2" x14ac:dyDescent="0.25">
      <c r="A9" t="s">
        <v>69</v>
      </c>
      <c r="B9">
        <v>902.49</v>
      </c>
    </row>
    <row r="10" spans="1:2" x14ac:dyDescent="0.25">
      <c r="A10" t="s">
        <v>70</v>
      </c>
      <c r="B10">
        <v>1102.49</v>
      </c>
    </row>
    <row r="11" spans="1:2" x14ac:dyDescent="0.25">
      <c r="A11" t="s">
        <v>71</v>
      </c>
      <c r="B11">
        <v>1065.56</v>
      </c>
    </row>
    <row r="12" spans="1:2" x14ac:dyDescent="0.25">
      <c r="A12" t="s">
        <v>72</v>
      </c>
      <c r="B12">
        <v>627.82000000000005</v>
      </c>
    </row>
    <row r="13" spans="1:2" x14ac:dyDescent="0.25">
      <c r="A13" t="s">
        <v>73</v>
      </c>
      <c r="B13">
        <v>781.56</v>
      </c>
    </row>
    <row r="14" spans="1:2" x14ac:dyDescent="0.25">
      <c r="A14" t="s">
        <v>74</v>
      </c>
      <c r="B14">
        <v>1099.2</v>
      </c>
    </row>
    <row r="15" spans="1:2" x14ac:dyDescent="0.25">
      <c r="A15" t="s">
        <v>75</v>
      </c>
      <c r="B15">
        <v>0</v>
      </c>
    </row>
    <row r="16" spans="1:2" x14ac:dyDescent="0.25">
      <c r="A16" t="s">
        <v>76</v>
      </c>
      <c r="B16">
        <v>0</v>
      </c>
    </row>
    <row r="17" spans="1:2" x14ac:dyDescent="0.25">
      <c r="A17" t="s">
        <v>77</v>
      </c>
      <c r="B17">
        <v>0</v>
      </c>
    </row>
    <row r="18" spans="1:2" x14ac:dyDescent="0.25">
      <c r="A18" t="s">
        <v>78</v>
      </c>
      <c r="B18">
        <v>0</v>
      </c>
    </row>
    <row r="19" spans="1:2" x14ac:dyDescent="0.25">
      <c r="A19" t="s">
        <v>79</v>
      </c>
      <c r="B19">
        <v>0</v>
      </c>
    </row>
    <row r="20" spans="1:2" x14ac:dyDescent="0.25">
      <c r="A20" t="s">
        <v>80</v>
      </c>
      <c r="B20">
        <v>0</v>
      </c>
    </row>
    <row r="21" spans="1:2" x14ac:dyDescent="0.25">
      <c r="A21" t="s">
        <v>81</v>
      </c>
      <c r="B21">
        <v>0</v>
      </c>
    </row>
    <row r="22" spans="1:2" x14ac:dyDescent="0.25">
      <c r="A22" t="s">
        <v>82</v>
      </c>
      <c r="B22">
        <v>0</v>
      </c>
    </row>
    <row r="23" spans="1:2" x14ac:dyDescent="0.25">
      <c r="A23" t="s">
        <v>83</v>
      </c>
      <c r="B23">
        <v>0</v>
      </c>
    </row>
    <row r="24" spans="1:2" x14ac:dyDescent="0.25">
      <c r="A24" t="s">
        <v>84</v>
      </c>
      <c r="B24">
        <v>0</v>
      </c>
    </row>
    <row r="25" spans="1:2" x14ac:dyDescent="0.25">
      <c r="A25" t="s">
        <v>85</v>
      </c>
      <c r="B25">
        <v>0</v>
      </c>
    </row>
    <row r="26" spans="1:2" x14ac:dyDescent="0.25">
      <c r="A26" t="s">
        <v>86</v>
      </c>
      <c r="B26">
        <v>0</v>
      </c>
    </row>
    <row r="27" spans="1:2" x14ac:dyDescent="0.25">
      <c r="A27" t="s">
        <v>87</v>
      </c>
      <c r="B27">
        <v>0</v>
      </c>
    </row>
    <row r="28" spans="1:2" x14ac:dyDescent="0.25">
      <c r="A28" t="s">
        <v>88</v>
      </c>
      <c r="B28">
        <v>0</v>
      </c>
    </row>
    <row r="29" spans="1:2" x14ac:dyDescent="0.25">
      <c r="A29" t="s">
        <v>61</v>
      </c>
      <c r="B2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0"/>
  <sheetViews>
    <sheetView showGridLines="0" workbookViewId="0">
      <selection activeCell="D24" sqref="D24"/>
    </sheetView>
  </sheetViews>
  <sheetFormatPr defaultRowHeight="15.75" x14ac:dyDescent="0.25"/>
  <cols>
    <col min="1" max="1" width="15" customWidth="1"/>
    <col min="2" max="2" width="35" customWidth="1"/>
    <col min="3" max="3" width="15" customWidth="1"/>
    <col min="4" max="4" width="25" customWidth="1"/>
  </cols>
  <sheetData>
    <row r="1" spans="1:4" ht="21" x14ac:dyDescent="0.35">
      <c r="A1" s="1" t="s">
        <v>89</v>
      </c>
    </row>
    <row r="2" spans="1:4" x14ac:dyDescent="0.25">
      <c r="A2" s="2" t="s">
        <v>90</v>
      </c>
    </row>
    <row r="4" spans="1:4" x14ac:dyDescent="0.25">
      <c r="A4" s="3" t="s">
        <v>91</v>
      </c>
      <c r="B4" s="3" t="s">
        <v>92</v>
      </c>
      <c r="C4" s="3" t="s">
        <v>93</v>
      </c>
      <c r="D4" s="3" t="s">
        <v>35</v>
      </c>
    </row>
    <row r="5" spans="1:4" x14ac:dyDescent="0.25">
      <c r="A5" s="10">
        <v>45962</v>
      </c>
      <c r="B5" s="4" t="s">
        <v>94</v>
      </c>
      <c r="C5" s="5">
        <v>21.1</v>
      </c>
      <c r="D5" s="4" t="s">
        <v>10</v>
      </c>
    </row>
    <row r="6" spans="1:4" x14ac:dyDescent="0.25">
      <c r="A6" s="10">
        <v>45975</v>
      </c>
      <c r="B6" s="4" t="s">
        <v>178</v>
      </c>
      <c r="C6" s="5">
        <v>5</v>
      </c>
      <c r="D6" s="4" t="s">
        <v>17</v>
      </c>
    </row>
    <row r="7" spans="1:4" x14ac:dyDescent="0.25">
      <c r="A7" s="10">
        <v>45962</v>
      </c>
      <c r="B7" s="4" t="s">
        <v>95</v>
      </c>
      <c r="C7" s="5">
        <v>22</v>
      </c>
      <c r="D7" s="4" t="s">
        <v>10</v>
      </c>
    </row>
    <row r="8" spans="1:4" x14ac:dyDescent="0.25">
      <c r="A8" s="10">
        <v>45962</v>
      </c>
      <c r="B8" s="4" t="s">
        <v>96</v>
      </c>
      <c r="C8" s="5">
        <v>104</v>
      </c>
      <c r="D8" s="4" t="s">
        <v>10</v>
      </c>
    </row>
    <row r="9" spans="1:4" x14ac:dyDescent="0.25">
      <c r="A9" s="10">
        <v>45962</v>
      </c>
      <c r="B9" s="4" t="s">
        <v>110</v>
      </c>
      <c r="C9" s="5">
        <v>50.89</v>
      </c>
      <c r="D9" s="4" t="s">
        <v>10</v>
      </c>
    </row>
    <row r="10" spans="1:4" x14ac:dyDescent="0.25">
      <c r="A10" s="10">
        <v>45720</v>
      </c>
      <c r="B10" s="4" t="s">
        <v>97</v>
      </c>
      <c r="C10" s="5">
        <v>7.46</v>
      </c>
      <c r="D10" s="4" t="s">
        <v>11</v>
      </c>
    </row>
    <row r="11" spans="1:4" x14ac:dyDescent="0.25">
      <c r="A11" s="10">
        <v>45720</v>
      </c>
      <c r="B11" s="4" t="s">
        <v>98</v>
      </c>
      <c r="C11" s="5">
        <v>4.9000000000000004</v>
      </c>
      <c r="D11" s="4" t="s">
        <v>12</v>
      </c>
    </row>
    <row r="12" spans="1:4" x14ac:dyDescent="0.25">
      <c r="A12" s="10">
        <v>45720</v>
      </c>
      <c r="B12" s="4" t="s">
        <v>99</v>
      </c>
      <c r="C12" s="5">
        <v>60</v>
      </c>
      <c r="D12" s="4" t="s">
        <v>17</v>
      </c>
    </row>
    <row r="13" spans="1:4" x14ac:dyDescent="0.25">
      <c r="A13" s="10">
        <v>45720</v>
      </c>
      <c r="B13" s="4" t="s">
        <v>100</v>
      </c>
      <c r="C13" s="5">
        <v>11.95</v>
      </c>
      <c r="D13" s="4" t="s">
        <v>11</v>
      </c>
    </row>
    <row r="14" spans="1:4" x14ac:dyDescent="0.25">
      <c r="A14" s="10">
        <v>45723</v>
      </c>
      <c r="B14" s="4" t="s">
        <v>101</v>
      </c>
      <c r="C14" s="5">
        <v>10</v>
      </c>
      <c r="D14" s="4" t="s">
        <v>13</v>
      </c>
    </row>
    <row r="15" spans="1:4" x14ac:dyDescent="0.25">
      <c r="A15" s="10">
        <v>45725</v>
      </c>
      <c r="B15" s="4" t="s">
        <v>99</v>
      </c>
      <c r="C15" s="5">
        <v>50</v>
      </c>
      <c r="D15" s="4" t="s">
        <v>17</v>
      </c>
    </row>
    <row r="16" spans="1:4" x14ac:dyDescent="0.25">
      <c r="A16" s="10">
        <v>45725</v>
      </c>
      <c r="B16" s="4" t="s">
        <v>97</v>
      </c>
      <c r="C16" s="5">
        <v>8.57</v>
      </c>
      <c r="D16" s="4" t="s">
        <v>11</v>
      </c>
    </row>
    <row r="17" spans="1:4" x14ac:dyDescent="0.25">
      <c r="A17" s="10">
        <v>45725</v>
      </c>
      <c r="B17" s="4" t="s">
        <v>97</v>
      </c>
      <c r="C17" s="5">
        <v>8.06</v>
      </c>
      <c r="D17" s="4" t="s">
        <v>11</v>
      </c>
    </row>
    <row r="18" spans="1:4" x14ac:dyDescent="0.25">
      <c r="A18" s="10">
        <v>45727</v>
      </c>
      <c r="B18" s="4" t="s">
        <v>97</v>
      </c>
      <c r="C18" s="5">
        <v>1</v>
      </c>
      <c r="D18" s="4" t="s">
        <v>11</v>
      </c>
    </row>
    <row r="19" spans="1:4" x14ac:dyDescent="0.25">
      <c r="A19" s="10">
        <v>45728</v>
      </c>
      <c r="B19" s="4" t="s">
        <v>102</v>
      </c>
      <c r="C19" s="5">
        <v>1</v>
      </c>
      <c r="D19" s="4" t="s">
        <v>11</v>
      </c>
    </row>
    <row r="20" spans="1:4" x14ac:dyDescent="0.25">
      <c r="A20" s="10">
        <v>45728</v>
      </c>
      <c r="B20" s="4" t="s">
        <v>103</v>
      </c>
      <c r="C20" s="5">
        <v>4.9000000000000004</v>
      </c>
      <c r="D20" s="4" t="s">
        <v>12</v>
      </c>
    </row>
    <row r="21" spans="1:4" x14ac:dyDescent="0.25">
      <c r="A21" s="10">
        <v>45728</v>
      </c>
      <c r="B21" s="4" t="s">
        <v>98</v>
      </c>
      <c r="C21" s="5">
        <v>68.7</v>
      </c>
      <c r="D21" s="4" t="s">
        <v>12</v>
      </c>
    </row>
    <row r="22" spans="1:4" x14ac:dyDescent="0.25">
      <c r="A22" s="10">
        <v>45728</v>
      </c>
      <c r="B22" s="4" t="s">
        <v>104</v>
      </c>
      <c r="C22" s="5">
        <v>22.44</v>
      </c>
      <c r="D22" s="4" t="s">
        <v>10</v>
      </c>
    </row>
    <row r="23" spans="1:4" x14ac:dyDescent="0.25">
      <c r="A23" s="10">
        <v>45729</v>
      </c>
      <c r="B23" s="4" t="s">
        <v>105</v>
      </c>
      <c r="C23" s="5">
        <v>30.97</v>
      </c>
      <c r="D23" s="4" t="s">
        <v>15</v>
      </c>
    </row>
    <row r="24" spans="1:4" x14ac:dyDescent="0.25">
      <c r="A24" s="10">
        <v>45729</v>
      </c>
      <c r="B24" s="4" t="s">
        <v>97</v>
      </c>
      <c r="C24" s="5">
        <v>9.1300000000000008</v>
      </c>
      <c r="D24" s="4" t="s">
        <v>11</v>
      </c>
    </row>
    <row r="25" spans="1:4" x14ac:dyDescent="0.25">
      <c r="A25" s="10">
        <v>45730</v>
      </c>
      <c r="B25" s="4" t="s">
        <v>106</v>
      </c>
      <c r="C25" s="5">
        <v>15.5</v>
      </c>
      <c r="D25" s="4" t="s">
        <v>11</v>
      </c>
    </row>
    <row r="26" spans="1:4" x14ac:dyDescent="0.25">
      <c r="A26" s="10">
        <v>45730</v>
      </c>
      <c r="B26" s="4" t="s">
        <v>107</v>
      </c>
      <c r="C26" s="5">
        <v>4.7</v>
      </c>
      <c r="D26" s="4" t="s">
        <v>11</v>
      </c>
    </row>
    <row r="27" spans="1:4" x14ac:dyDescent="0.25">
      <c r="A27" s="10">
        <v>45730</v>
      </c>
      <c r="B27" s="4" t="s">
        <v>108</v>
      </c>
      <c r="C27" s="5">
        <v>4.9000000000000004</v>
      </c>
      <c r="D27" s="4" t="s">
        <v>12</v>
      </c>
    </row>
    <row r="28" spans="1:4" x14ac:dyDescent="0.25">
      <c r="A28" s="10">
        <v>45731</v>
      </c>
      <c r="B28" s="4" t="s">
        <v>109</v>
      </c>
      <c r="C28" s="5">
        <v>50</v>
      </c>
      <c r="D28" s="4" t="s">
        <v>17</v>
      </c>
    </row>
    <row r="29" spans="1:4" x14ac:dyDescent="0.25">
      <c r="A29" s="10">
        <v>45733</v>
      </c>
      <c r="B29" s="4" t="s">
        <v>110</v>
      </c>
      <c r="C29" s="5">
        <v>50.89</v>
      </c>
      <c r="D29" s="4" t="s">
        <v>10</v>
      </c>
    </row>
    <row r="30" spans="1:4" x14ac:dyDescent="0.25">
      <c r="A30" s="10">
        <v>45733</v>
      </c>
      <c r="B30" s="4" t="s">
        <v>103</v>
      </c>
      <c r="C30" s="5">
        <v>4.9000000000000004</v>
      </c>
      <c r="D30" s="4" t="s">
        <v>12</v>
      </c>
    </row>
    <row r="31" spans="1:4" x14ac:dyDescent="0.25">
      <c r="A31" s="10">
        <v>45733</v>
      </c>
      <c r="B31" s="4" t="s">
        <v>99</v>
      </c>
      <c r="C31" s="5">
        <v>50</v>
      </c>
      <c r="D31" s="4" t="s">
        <v>17</v>
      </c>
    </row>
    <row r="32" spans="1:4" x14ac:dyDescent="0.25">
      <c r="A32" s="10">
        <v>45733</v>
      </c>
      <c r="B32" s="4" t="s">
        <v>97</v>
      </c>
      <c r="C32" s="5">
        <v>7.46</v>
      </c>
      <c r="D32" s="4" t="s">
        <v>11</v>
      </c>
    </row>
    <row r="33" spans="1:4" x14ac:dyDescent="0.25">
      <c r="A33" s="10">
        <v>45734</v>
      </c>
      <c r="B33" s="4" t="s">
        <v>111</v>
      </c>
      <c r="C33" s="5">
        <v>3.49</v>
      </c>
      <c r="D33" s="4" t="s">
        <v>17</v>
      </c>
    </row>
    <row r="34" spans="1:4" x14ac:dyDescent="0.25">
      <c r="A34" s="10">
        <v>45734</v>
      </c>
      <c r="B34" s="4" t="s">
        <v>112</v>
      </c>
      <c r="C34" s="5">
        <v>0.3</v>
      </c>
      <c r="D34" s="4" t="s">
        <v>17</v>
      </c>
    </row>
    <row r="35" spans="1:4" x14ac:dyDescent="0.25">
      <c r="A35" s="10">
        <v>45735</v>
      </c>
      <c r="B35" s="4" t="s">
        <v>113</v>
      </c>
      <c r="C35" s="5">
        <v>179</v>
      </c>
      <c r="D35" s="4" t="s">
        <v>17</v>
      </c>
    </row>
    <row r="36" spans="1:4" x14ac:dyDescent="0.25">
      <c r="A36" s="10">
        <v>45735</v>
      </c>
      <c r="B36" s="4" t="s">
        <v>114</v>
      </c>
      <c r="C36" s="5">
        <v>1.8</v>
      </c>
      <c r="D36" s="4" t="s">
        <v>11</v>
      </c>
    </row>
    <row r="37" spans="1:4" x14ac:dyDescent="0.25">
      <c r="A37" s="10">
        <v>45735</v>
      </c>
      <c r="B37" s="4" t="s">
        <v>97</v>
      </c>
      <c r="C37" s="5">
        <v>8.5500000000000007</v>
      </c>
      <c r="D37" s="4" t="s">
        <v>11</v>
      </c>
    </row>
    <row r="38" spans="1:4" x14ac:dyDescent="0.25">
      <c r="A38" s="10">
        <v>45736</v>
      </c>
      <c r="B38" s="4" t="s">
        <v>100</v>
      </c>
      <c r="C38" s="5">
        <v>19.760000000000002</v>
      </c>
      <c r="D38" s="4" t="s">
        <v>11</v>
      </c>
    </row>
    <row r="39" spans="1:4" x14ac:dyDescent="0.25">
      <c r="A39" s="10">
        <v>45736</v>
      </c>
      <c r="B39" s="4" t="s">
        <v>98</v>
      </c>
      <c r="C39" s="5">
        <v>4.9000000000000004</v>
      </c>
      <c r="D39" s="4" t="s">
        <v>12</v>
      </c>
    </row>
    <row r="40" spans="1:4" x14ac:dyDescent="0.25">
      <c r="A40" s="10">
        <v>45736</v>
      </c>
      <c r="B40" s="4" t="s">
        <v>115</v>
      </c>
      <c r="C40" s="5">
        <v>20</v>
      </c>
      <c r="D40" s="4" t="s">
        <v>13</v>
      </c>
    </row>
    <row r="41" spans="1:4" x14ac:dyDescent="0.25">
      <c r="A41" s="10">
        <v>45736</v>
      </c>
      <c r="B41" s="4" t="s">
        <v>116</v>
      </c>
      <c r="C41" s="5">
        <v>28.52</v>
      </c>
      <c r="D41" s="4" t="s">
        <v>13</v>
      </c>
    </row>
    <row r="42" spans="1:4" x14ac:dyDescent="0.25">
      <c r="A42" s="10">
        <v>45736</v>
      </c>
      <c r="B42" s="4" t="s">
        <v>117</v>
      </c>
      <c r="C42" s="5">
        <v>15.8</v>
      </c>
      <c r="D42" s="4" t="s">
        <v>13</v>
      </c>
    </row>
    <row r="43" spans="1:4" x14ac:dyDescent="0.25">
      <c r="A43" s="10">
        <v>45736</v>
      </c>
      <c r="B43" s="4" t="s">
        <v>118</v>
      </c>
      <c r="C43" s="5">
        <v>11.3</v>
      </c>
      <c r="D43" s="4" t="s">
        <v>13</v>
      </c>
    </row>
    <row r="44" spans="1:4" x14ac:dyDescent="0.25">
      <c r="A44" s="10">
        <v>45737</v>
      </c>
      <c r="B44" s="4" t="s">
        <v>119</v>
      </c>
      <c r="C44" s="5">
        <v>21.59</v>
      </c>
      <c r="D44" s="4" t="s">
        <v>11</v>
      </c>
    </row>
    <row r="45" spans="1:4" x14ac:dyDescent="0.25">
      <c r="A45" s="10">
        <v>45739</v>
      </c>
      <c r="B45" s="4" t="s">
        <v>97</v>
      </c>
      <c r="C45" s="5">
        <v>1.8</v>
      </c>
      <c r="D45" s="4" t="s">
        <v>11</v>
      </c>
    </row>
    <row r="46" spans="1:4" x14ac:dyDescent="0.25">
      <c r="A46" s="10">
        <v>45740</v>
      </c>
      <c r="B46" s="4" t="s">
        <v>114</v>
      </c>
      <c r="C46" s="5">
        <v>17.48</v>
      </c>
      <c r="D46" s="4" t="s">
        <v>11</v>
      </c>
    </row>
    <row r="47" spans="1:4" x14ac:dyDescent="0.25">
      <c r="A47" s="10">
        <v>45740</v>
      </c>
      <c r="B47" s="4" t="s">
        <v>97</v>
      </c>
      <c r="C47" s="5">
        <v>50</v>
      </c>
      <c r="D47" s="4" t="s">
        <v>11</v>
      </c>
    </row>
    <row r="48" spans="1:4" x14ac:dyDescent="0.25">
      <c r="A48" s="10">
        <v>45740</v>
      </c>
      <c r="B48" s="4" t="s">
        <v>120</v>
      </c>
      <c r="C48" s="5">
        <v>2.88</v>
      </c>
      <c r="D48" s="4" t="s">
        <v>17</v>
      </c>
    </row>
    <row r="49" spans="1:4" x14ac:dyDescent="0.25">
      <c r="A49" s="10">
        <v>45740</v>
      </c>
      <c r="B49" s="4" t="s">
        <v>119</v>
      </c>
      <c r="C49" s="5">
        <v>11.6</v>
      </c>
      <c r="D49" s="4" t="s">
        <v>11</v>
      </c>
    </row>
    <row r="50" spans="1:4" x14ac:dyDescent="0.25">
      <c r="A50" s="10">
        <v>45741</v>
      </c>
      <c r="B50" s="4" t="s">
        <v>103</v>
      </c>
      <c r="C50" s="5">
        <v>4.9000000000000004</v>
      </c>
      <c r="D50" s="4" t="s">
        <v>12</v>
      </c>
    </row>
    <row r="51" spans="1:4" x14ac:dyDescent="0.25">
      <c r="A51" s="10">
        <v>45741</v>
      </c>
      <c r="B51" s="4" t="s">
        <v>97</v>
      </c>
      <c r="C51" s="5">
        <v>22.14</v>
      </c>
      <c r="D51" s="4" t="s">
        <v>11</v>
      </c>
    </row>
    <row r="52" spans="1:4" x14ac:dyDescent="0.25">
      <c r="A52" s="10">
        <v>45741</v>
      </c>
      <c r="B52" s="4" t="s">
        <v>121</v>
      </c>
      <c r="C52" s="5">
        <v>22.14</v>
      </c>
      <c r="D52" s="4" t="s">
        <v>17</v>
      </c>
    </row>
    <row r="53" spans="1:4" x14ac:dyDescent="0.25">
      <c r="A53" s="10">
        <v>45743</v>
      </c>
      <c r="B53" s="4" t="s">
        <v>122</v>
      </c>
      <c r="C53" s="5">
        <v>10</v>
      </c>
      <c r="D53" s="4" t="s">
        <v>17</v>
      </c>
    </row>
    <row r="54" spans="1:4" x14ac:dyDescent="0.25">
      <c r="A54" s="10">
        <v>45743</v>
      </c>
      <c r="B54" s="4" t="s">
        <v>123</v>
      </c>
      <c r="C54" s="5">
        <v>9.73</v>
      </c>
      <c r="D54" s="4" t="s">
        <v>11</v>
      </c>
    </row>
    <row r="55" spans="1:4" x14ac:dyDescent="0.25">
      <c r="A55" s="10">
        <v>45743</v>
      </c>
      <c r="B55" s="4" t="s">
        <v>97</v>
      </c>
      <c r="C55" s="5">
        <v>6.52</v>
      </c>
      <c r="D55" s="4" t="s">
        <v>11</v>
      </c>
    </row>
    <row r="56" spans="1:4" x14ac:dyDescent="0.25">
      <c r="A56" s="10">
        <v>45746</v>
      </c>
      <c r="B56" s="4" t="s">
        <v>97</v>
      </c>
      <c r="C56" s="5">
        <v>5.92</v>
      </c>
      <c r="D56" s="4" t="s">
        <v>11</v>
      </c>
    </row>
    <row r="57" spans="1:4" x14ac:dyDescent="0.25">
      <c r="A57" s="10">
        <v>45747</v>
      </c>
      <c r="B57" s="4" t="s">
        <v>111</v>
      </c>
      <c r="C57" s="5">
        <v>16.57</v>
      </c>
      <c r="D57" s="4" t="s">
        <v>17</v>
      </c>
    </row>
    <row r="58" spans="1:4" x14ac:dyDescent="0.25">
      <c r="A58" s="10">
        <v>45747</v>
      </c>
      <c r="B58" s="4" t="s">
        <v>112</v>
      </c>
      <c r="C58" s="5">
        <v>0.3</v>
      </c>
      <c r="D58" s="4" t="s">
        <v>17</v>
      </c>
    </row>
    <row r="59" spans="1:4" x14ac:dyDescent="0.25">
      <c r="A59" s="10">
        <v>45747</v>
      </c>
      <c r="B59" s="4" t="s">
        <v>111</v>
      </c>
      <c r="C59" s="5">
        <v>16.57</v>
      </c>
      <c r="D59" s="4" t="s">
        <v>17</v>
      </c>
    </row>
    <row r="60" spans="1:4" x14ac:dyDescent="0.25">
      <c r="A60" s="10">
        <v>45747</v>
      </c>
      <c r="B60" s="4" t="s">
        <v>112</v>
      </c>
      <c r="C60" s="5">
        <v>0.3</v>
      </c>
      <c r="D60" s="4" t="s">
        <v>17</v>
      </c>
    </row>
    <row r="61" spans="1:4" x14ac:dyDescent="0.25">
      <c r="A61" s="10">
        <v>45747</v>
      </c>
      <c r="B61" s="4" t="s">
        <v>111</v>
      </c>
      <c r="C61" s="5">
        <v>16.57</v>
      </c>
      <c r="D61" s="4" t="s">
        <v>17</v>
      </c>
    </row>
    <row r="62" spans="1:4" x14ac:dyDescent="0.25">
      <c r="A62" s="10">
        <v>45747</v>
      </c>
      <c r="B62" s="4" t="s">
        <v>112</v>
      </c>
      <c r="C62" s="5">
        <v>0.3</v>
      </c>
      <c r="D62" s="4" t="s">
        <v>17</v>
      </c>
    </row>
    <row r="63" spans="1:4" x14ac:dyDescent="0.25">
      <c r="A63" s="10">
        <v>45748</v>
      </c>
      <c r="B63" s="4" t="s">
        <v>103</v>
      </c>
      <c r="C63" s="5">
        <v>9.8000000000000007</v>
      </c>
      <c r="D63" s="4" t="s">
        <v>12</v>
      </c>
    </row>
    <row r="64" spans="1:4" x14ac:dyDescent="0.25">
      <c r="A64" s="10">
        <v>45748</v>
      </c>
      <c r="B64" s="4" t="s">
        <v>97</v>
      </c>
      <c r="C64" s="5">
        <v>8.06</v>
      </c>
      <c r="D64" s="4" t="s">
        <v>11</v>
      </c>
    </row>
    <row r="65" spans="1:4" x14ac:dyDescent="0.25">
      <c r="A65" s="10">
        <v>45749</v>
      </c>
      <c r="B65" s="4" t="s">
        <v>99</v>
      </c>
      <c r="C65" s="5">
        <v>60</v>
      </c>
      <c r="D65" s="4" t="s">
        <v>17</v>
      </c>
    </row>
    <row r="66" spans="1:4" x14ac:dyDescent="0.25">
      <c r="A66" s="10">
        <v>45749</v>
      </c>
      <c r="B66" s="4" t="s">
        <v>97</v>
      </c>
      <c r="C66" s="5">
        <v>4.42</v>
      </c>
      <c r="D66" s="4" t="s">
        <v>11</v>
      </c>
    </row>
    <row r="67" spans="1:4" x14ac:dyDescent="0.25">
      <c r="A67" s="10">
        <v>45750</v>
      </c>
      <c r="B67" s="4" t="s">
        <v>114</v>
      </c>
      <c r="C67" s="5">
        <v>1.8</v>
      </c>
      <c r="D67" s="4" t="s">
        <v>11</v>
      </c>
    </row>
    <row r="68" spans="1:4" x14ac:dyDescent="0.25">
      <c r="A68" s="10">
        <v>45750</v>
      </c>
      <c r="B68" s="4" t="s">
        <v>124</v>
      </c>
      <c r="C68" s="5">
        <v>20</v>
      </c>
      <c r="D68" s="4" t="s">
        <v>13</v>
      </c>
    </row>
    <row r="69" spans="1:4" x14ac:dyDescent="0.25">
      <c r="A69" s="10">
        <v>45750</v>
      </c>
      <c r="B69" s="4" t="s">
        <v>97</v>
      </c>
      <c r="C69" s="5">
        <v>7.46</v>
      </c>
      <c r="D69" s="4" t="s">
        <v>11</v>
      </c>
    </row>
    <row r="70" spans="1:4" x14ac:dyDescent="0.25">
      <c r="A70" s="10">
        <v>45750</v>
      </c>
      <c r="B70" s="4" t="s">
        <v>98</v>
      </c>
      <c r="C70" s="5">
        <v>4.9000000000000004</v>
      </c>
      <c r="D70" s="4" t="s">
        <v>12</v>
      </c>
    </row>
    <row r="71" spans="1:4" x14ac:dyDescent="0.25">
      <c r="A71" s="10">
        <v>45750</v>
      </c>
      <c r="B71" s="4" t="s">
        <v>125</v>
      </c>
      <c r="C71" s="5">
        <v>7.97</v>
      </c>
      <c r="D71" s="4" t="s">
        <v>11</v>
      </c>
    </row>
    <row r="72" spans="1:4" x14ac:dyDescent="0.25">
      <c r="A72" s="10">
        <v>45750</v>
      </c>
      <c r="B72" s="4" t="s">
        <v>126</v>
      </c>
      <c r="C72" s="5">
        <v>16.5</v>
      </c>
      <c r="D72" s="4" t="s">
        <v>13</v>
      </c>
    </row>
    <row r="73" spans="1:4" x14ac:dyDescent="0.25">
      <c r="A73" s="10">
        <v>45750</v>
      </c>
      <c r="B73" s="4" t="s">
        <v>127</v>
      </c>
      <c r="C73" s="5">
        <v>9.8000000000000007</v>
      </c>
      <c r="D73" s="4" t="s">
        <v>12</v>
      </c>
    </row>
    <row r="74" spans="1:4" x14ac:dyDescent="0.25">
      <c r="A74" s="10">
        <v>45751</v>
      </c>
      <c r="B74" s="4" t="s">
        <v>128</v>
      </c>
      <c r="C74" s="5">
        <v>116</v>
      </c>
      <c r="D74" s="4" t="s">
        <v>17</v>
      </c>
    </row>
    <row r="75" spans="1:4" x14ac:dyDescent="0.25">
      <c r="A75" s="10">
        <v>45753</v>
      </c>
      <c r="B75" s="4" t="s">
        <v>103</v>
      </c>
      <c r="C75" s="5">
        <v>9.8000000000000007</v>
      </c>
      <c r="D75" s="4" t="s">
        <v>12</v>
      </c>
    </row>
    <row r="76" spans="1:4" x14ac:dyDescent="0.25">
      <c r="A76" s="10">
        <v>45753</v>
      </c>
      <c r="B76" s="4" t="s">
        <v>97</v>
      </c>
      <c r="C76" s="5">
        <v>8.06</v>
      </c>
      <c r="D76" s="4" t="s">
        <v>11</v>
      </c>
    </row>
    <row r="77" spans="1:4" x14ac:dyDescent="0.25">
      <c r="A77" s="10">
        <v>45753</v>
      </c>
      <c r="B77" s="4" t="s">
        <v>98</v>
      </c>
      <c r="C77" s="5">
        <v>49.72</v>
      </c>
      <c r="D77" s="4" t="s">
        <v>12</v>
      </c>
    </row>
    <row r="78" spans="1:4" x14ac:dyDescent="0.25">
      <c r="A78" s="10">
        <v>45754</v>
      </c>
      <c r="B78" s="4" t="s">
        <v>100</v>
      </c>
      <c r="C78" s="5">
        <v>9.06</v>
      </c>
      <c r="D78" s="4" t="s">
        <v>11</v>
      </c>
    </row>
    <row r="79" spans="1:4" x14ac:dyDescent="0.25">
      <c r="A79" s="10">
        <v>45755</v>
      </c>
      <c r="B79" s="4" t="s">
        <v>97</v>
      </c>
      <c r="C79" s="5">
        <v>5.92</v>
      </c>
      <c r="D79" s="4" t="s">
        <v>11</v>
      </c>
    </row>
    <row r="80" spans="1:4" x14ac:dyDescent="0.25">
      <c r="A80" s="10">
        <v>45756</v>
      </c>
      <c r="B80" s="4" t="s">
        <v>97</v>
      </c>
      <c r="C80" s="5">
        <v>4.9000000000000004</v>
      </c>
      <c r="D80" s="4" t="s">
        <v>11</v>
      </c>
    </row>
    <row r="81" spans="1:4" x14ac:dyDescent="0.25">
      <c r="A81" s="10">
        <v>45756</v>
      </c>
      <c r="B81" s="4" t="s">
        <v>103</v>
      </c>
      <c r="C81" s="5">
        <v>4.9000000000000004</v>
      </c>
      <c r="D81" s="4" t="s">
        <v>12</v>
      </c>
    </row>
    <row r="82" spans="1:4" x14ac:dyDescent="0.25">
      <c r="A82" s="10">
        <v>45757</v>
      </c>
      <c r="B82" s="4" t="s">
        <v>129</v>
      </c>
      <c r="C82" s="5">
        <v>2.62</v>
      </c>
      <c r="D82" s="4" t="s">
        <v>11</v>
      </c>
    </row>
    <row r="83" spans="1:4" x14ac:dyDescent="0.25">
      <c r="A83" s="10">
        <v>45757</v>
      </c>
      <c r="B83" s="4" t="s">
        <v>101</v>
      </c>
      <c r="C83" s="5">
        <v>26.4</v>
      </c>
      <c r="D83" s="4" t="s">
        <v>13</v>
      </c>
    </row>
    <row r="84" spans="1:4" x14ac:dyDescent="0.25">
      <c r="A84" s="10">
        <v>45759</v>
      </c>
      <c r="B84" s="4" t="s">
        <v>104</v>
      </c>
      <c r="C84" s="5">
        <v>21.8</v>
      </c>
      <c r="D84" s="4" t="s">
        <v>10</v>
      </c>
    </row>
    <row r="85" spans="1:4" x14ac:dyDescent="0.25">
      <c r="A85" s="10">
        <v>45761</v>
      </c>
      <c r="B85" s="4" t="s">
        <v>97</v>
      </c>
      <c r="C85" s="5">
        <v>7.46</v>
      </c>
      <c r="D85" s="4" t="s">
        <v>11</v>
      </c>
    </row>
    <row r="86" spans="1:4" x14ac:dyDescent="0.25">
      <c r="A86" s="10">
        <v>45762</v>
      </c>
      <c r="B86" s="4" t="s">
        <v>109</v>
      </c>
      <c r="C86" s="5">
        <v>50</v>
      </c>
      <c r="D86" s="4" t="s">
        <v>17</v>
      </c>
    </row>
    <row r="87" spans="1:4" x14ac:dyDescent="0.25">
      <c r="A87" s="10">
        <v>45762</v>
      </c>
      <c r="B87" s="4" t="s">
        <v>97</v>
      </c>
      <c r="C87" s="5">
        <v>4.18</v>
      </c>
      <c r="D87" s="4" t="s">
        <v>11</v>
      </c>
    </row>
    <row r="88" spans="1:4" x14ac:dyDescent="0.25">
      <c r="A88" s="10">
        <v>45763</v>
      </c>
      <c r="B88" s="4" t="s">
        <v>130</v>
      </c>
      <c r="C88" s="5">
        <v>0.9</v>
      </c>
      <c r="D88" s="4" t="s">
        <v>11</v>
      </c>
    </row>
    <row r="89" spans="1:4" x14ac:dyDescent="0.25">
      <c r="A89" s="10">
        <v>45763</v>
      </c>
      <c r="B89" s="4" t="s">
        <v>103</v>
      </c>
      <c r="C89" s="5">
        <v>4.9000000000000004</v>
      </c>
      <c r="D89" s="4" t="s">
        <v>12</v>
      </c>
    </row>
    <row r="90" spans="1:4" x14ac:dyDescent="0.25">
      <c r="A90" s="10">
        <v>45763</v>
      </c>
      <c r="B90" s="4" t="s">
        <v>100</v>
      </c>
      <c r="C90" s="5">
        <v>8.4700000000000006</v>
      </c>
      <c r="D90" s="4" t="s">
        <v>11</v>
      </c>
    </row>
    <row r="91" spans="1:4" x14ac:dyDescent="0.25">
      <c r="A91" s="10">
        <v>45764</v>
      </c>
      <c r="B91" s="4" t="s">
        <v>99</v>
      </c>
      <c r="C91" s="5">
        <v>40</v>
      </c>
      <c r="D91" s="4" t="s">
        <v>17</v>
      </c>
    </row>
    <row r="92" spans="1:4" x14ac:dyDescent="0.25">
      <c r="A92" s="10">
        <v>45764</v>
      </c>
      <c r="B92" s="4" t="s">
        <v>97</v>
      </c>
      <c r="C92" s="5">
        <v>7.39</v>
      </c>
      <c r="D92" s="4" t="s">
        <v>11</v>
      </c>
    </row>
    <row r="93" spans="1:4" x14ac:dyDescent="0.25">
      <c r="A93" s="10">
        <v>45765</v>
      </c>
      <c r="B93" s="4" t="s">
        <v>129</v>
      </c>
      <c r="C93" s="5">
        <v>3.44</v>
      </c>
      <c r="D93" s="4" t="s">
        <v>11</v>
      </c>
    </row>
    <row r="94" spans="1:4" x14ac:dyDescent="0.25">
      <c r="A94" s="10">
        <v>45765</v>
      </c>
      <c r="B94" s="4" t="s">
        <v>131</v>
      </c>
      <c r="C94" s="5">
        <v>9.8000000000000007</v>
      </c>
      <c r="D94" s="4" t="s">
        <v>12</v>
      </c>
    </row>
    <row r="95" spans="1:4" x14ac:dyDescent="0.25">
      <c r="A95" s="10">
        <v>45768</v>
      </c>
      <c r="B95" s="4" t="s">
        <v>113</v>
      </c>
      <c r="C95" s="5">
        <v>974.42</v>
      </c>
      <c r="D95" s="4" t="s">
        <v>17</v>
      </c>
    </row>
    <row r="96" spans="1:4" x14ac:dyDescent="0.25">
      <c r="A96" s="10">
        <v>45768</v>
      </c>
      <c r="B96" s="4" t="s">
        <v>103</v>
      </c>
      <c r="C96" s="5">
        <v>12</v>
      </c>
      <c r="D96" s="4" t="s">
        <v>12</v>
      </c>
    </row>
    <row r="97" spans="1:4" x14ac:dyDescent="0.25">
      <c r="A97" s="10">
        <v>45768</v>
      </c>
      <c r="B97" s="4" t="s">
        <v>132</v>
      </c>
      <c r="C97" s="5">
        <v>59.89</v>
      </c>
      <c r="D97" s="4" t="s">
        <v>10</v>
      </c>
    </row>
    <row r="98" spans="1:4" x14ac:dyDescent="0.25">
      <c r="A98" s="10">
        <v>45768</v>
      </c>
      <c r="B98" s="4" t="s">
        <v>97</v>
      </c>
      <c r="C98" s="5">
        <v>11.03</v>
      </c>
      <c r="D98" s="4" t="s">
        <v>11</v>
      </c>
    </row>
    <row r="99" spans="1:4" x14ac:dyDescent="0.25">
      <c r="A99" s="10">
        <v>45768</v>
      </c>
      <c r="B99" s="4" t="s">
        <v>133</v>
      </c>
      <c r="C99" s="5">
        <v>18.66</v>
      </c>
      <c r="D99" s="4" t="s">
        <v>15</v>
      </c>
    </row>
    <row r="100" spans="1:4" x14ac:dyDescent="0.25">
      <c r="A100" s="10">
        <v>45770</v>
      </c>
      <c r="B100" s="4" t="s">
        <v>97</v>
      </c>
      <c r="C100" s="5">
        <v>5.52</v>
      </c>
      <c r="D100" s="4" t="s">
        <v>11</v>
      </c>
    </row>
    <row r="101" spans="1:4" x14ac:dyDescent="0.25">
      <c r="A101" s="10">
        <v>45771</v>
      </c>
      <c r="B101" s="4" t="s">
        <v>100</v>
      </c>
      <c r="C101" s="5">
        <v>8.9600000000000009</v>
      </c>
      <c r="D101" s="4" t="s">
        <v>11</v>
      </c>
    </row>
    <row r="102" spans="1:4" x14ac:dyDescent="0.25">
      <c r="A102" s="10">
        <v>45771</v>
      </c>
      <c r="B102" s="4" t="s">
        <v>134</v>
      </c>
      <c r="C102" s="5">
        <v>32.4</v>
      </c>
      <c r="D102" s="4" t="s">
        <v>13</v>
      </c>
    </row>
    <row r="103" spans="1:4" x14ac:dyDescent="0.25">
      <c r="A103" s="10">
        <v>45774</v>
      </c>
      <c r="B103" s="4" t="s">
        <v>103</v>
      </c>
      <c r="C103" s="5">
        <v>4.9000000000000004</v>
      </c>
      <c r="D103" s="4" t="s">
        <v>12</v>
      </c>
    </row>
    <row r="104" spans="1:4" x14ac:dyDescent="0.25">
      <c r="A104" s="10">
        <v>45774</v>
      </c>
      <c r="B104" s="4" t="s">
        <v>97</v>
      </c>
      <c r="C104" s="5">
        <v>7.01</v>
      </c>
      <c r="D104" s="4" t="s">
        <v>11</v>
      </c>
    </row>
    <row r="105" spans="1:4" x14ac:dyDescent="0.25">
      <c r="A105" s="10">
        <v>45775</v>
      </c>
      <c r="B105" s="4" t="s">
        <v>111</v>
      </c>
      <c r="C105" s="5">
        <v>137.44</v>
      </c>
      <c r="D105" s="4" t="s">
        <v>17</v>
      </c>
    </row>
    <row r="106" spans="1:4" x14ac:dyDescent="0.25">
      <c r="A106" s="10">
        <v>45775</v>
      </c>
      <c r="B106" s="4" t="s">
        <v>112</v>
      </c>
      <c r="C106" s="5">
        <v>0.3</v>
      </c>
      <c r="D106" s="4" t="s">
        <v>17</v>
      </c>
    </row>
    <row r="107" spans="1:4" x14ac:dyDescent="0.25">
      <c r="A107" s="10">
        <v>45775</v>
      </c>
      <c r="B107" s="4" t="s">
        <v>100</v>
      </c>
      <c r="C107" s="5">
        <v>6.97</v>
      </c>
      <c r="D107" s="4" t="s">
        <v>11</v>
      </c>
    </row>
    <row r="108" spans="1:4" x14ac:dyDescent="0.25">
      <c r="A108" s="10">
        <v>45775</v>
      </c>
      <c r="B108" s="4" t="s">
        <v>98</v>
      </c>
      <c r="C108" s="5">
        <v>67.92</v>
      </c>
      <c r="D108" s="4" t="s">
        <v>12</v>
      </c>
    </row>
    <row r="109" spans="1:4" x14ac:dyDescent="0.25">
      <c r="A109" s="10">
        <v>45776</v>
      </c>
      <c r="B109" s="4" t="s">
        <v>97</v>
      </c>
      <c r="C109" s="5">
        <v>8.2200000000000006</v>
      </c>
      <c r="D109" s="4" t="s">
        <v>11</v>
      </c>
    </row>
    <row r="110" spans="1:4" x14ac:dyDescent="0.25">
      <c r="A110" s="10">
        <v>45777</v>
      </c>
      <c r="B110" s="4" t="s">
        <v>135</v>
      </c>
      <c r="C110" s="5">
        <v>23.3</v>
      </c>
      <c r="D110" s="4" t="s">
        <v>13</v>
      </c>
    </row>
    <row r="111" spans="1:4" x14ac:dyDescent="0.25">
      <c r="A111" s="10">
        <v>45778</v>
      </c>
      <c r="B111" s="4" t="s">
        <v>98</v>
      </c>
      <c r="C111" s="5">
        <v>4.9000000000000004</v>
      </c>
      <c r="D111" s="4" t="s">
        <v>12</v>
      </c>
    </row>
    <row r="112" spans="1:4" x14ac:dyDescent="0.25">
      <c r="A112" s="10">
        <v>45779</v>
      </c>
      <c r="B112" s="4" t="s">
        <v>136</v>
      </c>
      <c r="C112" s="5">
        <v>4.68</v>
      </c>
      <c r="D112" s="4" t="s">
        <v>12</v>
      </c>
    </row>
    <row r="113" spans="1:4" x14ac:dyDescent="0.25">
      <c r="A113" s="10">
        <v>45779</v>
      </c>
      <c r="B113" s="4" t="s">
        <v>137</v>
      </c>
      <c r="C113" s="5">
        <v>15.3</v>
      </c>
      <c r="D113" s="4" t="s">
        <v>13</v>
      </c>
    </row>
    <row r="114" spans="1:4" x14ac:dyDescent="0.25">
      <c r="A114" s="10">
        <v>45779</v>
      </c>
      <c r="B114" s="4" t="s">
        <v>138</v>
      </c>
      <c r="C114" s="5">
        <v>25.7</v>
      </c>
      <c r="D114" s="4" t="s">
        <v>13</v>
      </c>
    </row>
    <row r="115" spans="1:4" x14ac:dyDescent="0.25">
      <c r="A115" s="10">
        <v>45779</v>
      </c>
      <c r="B115" s="4" t="s">
        <v>139</v>
      </c>
      <c r="C115" s="5">
        <v>7.35</v>
      </c>
      <c r="D115" s="4" t="s">
        <v>13</v>
      </c>
    </row>
    <row r="116" spans="1:4" x14ac:dyDescent="0.25">
      <c r="A116" s="10">
        <v>45779</v>
      </c>
      <c r="B116" s="4" t="s">
        <v>140</v>
      </c>
      <c r="C116" s="5">
        <v>14.49</v>
      </c>
      <c r="D116" s="4" t="s">
        <v>13</v>
      </c>
    </row>
    <row r="117" spans="1:4" x14ac:dyDescent="0.25">
      <c r="A117" s="10">
        <v>45779</v>
      </c>
      <c r="B117" s="4" t="s">
        <v>125</v>
      </c>
      <c r="C117" s="5">
        <v>5.47</v>
      </c>
      <c r="D117" s="4" t="s">
        <v>11</v>
      </c>
    </row>
    <row r="118" spans="1:4" x14ac:dyDescent="0.25">
      <c r="A118" s="10">
        <v>45780</v>
      </c>
      <c r="B118" s="4" t="s">
        <v>141</v>
      </c>
      <c r="C118" s="5">
        <v>48.8</v>
      </c>
      <c r="D118" s="4" t="s">
        <v>13</v>
      </c>
    </row>
    <row r="119" spans="1:4" x14ac:dyDescent="0.25">
      <c r="A119" s="10">
        <v>45782</v>
      </c>
      <c r="B119" s="4" t="s">
        <v>103</v>
      </c>
      <c r="C119" s="5">
        <v>4.9000000000000004</v>
      </c>
      <c r="D119" s="4" t="s">
        <v>12</v>
      </c>
    </row>
    <row r="120" spans="1:4" x14ac:dyDescent="0.25">
      <c r="A120" s="10">
        <v>45782</v>
      </c>
      <c r="B120" s="4" t="s">
        <v>99</v>
      </c>
      <c r="C120" s="5">
        <v>50</v>
      </c>
      <c r="D120" s="4" t="s">
        <v>17</v>
      </c>
    </row>
    <row r="121" spans="1:4" x14ac:dyDescent="0.25">
      <c r="A121" s="10">
        <v>45782</v>
      </c>
      <c r="B121" s="4" t="s">
        <v>100</v>
      </c>
      <c r="C121" s="5">
        <v>7.17</v>
      </c>
      <c r="D121" s="4" t="s">
        <v>11</v>
      </c>
    </row>
    <row r="122" spans="1:4" x14ac:dyDescent="0.25">
      <c r="A122" s="10">
        <v>45784</v>
      </c>
      <c r="B122" s="4" t="s">
        <v>103</v>
      </c>
      <c r="C122" s="5">
        <v>6.5</v>
      </c>
      <c r="D122" s="4" t="s">
        <v>12</v>
      </c>
    </row>
    <row r="123" spans="1:4" x14ac:dyDescent="0.25">
      <c r="A123" s="10">
        <v>45784</v>
      </c>
      <c r="B123" s="4" t="s">
        <v>97</v>
      </c>
      <c r="C123" s="5">
        <v>7.19</v>
      </c>
      <c r="D123" s="4" t="s">
        <v>11</v>
      </c>
    </row>
    <row r="124" spans="1:4" x14ac:dyDescent="0.25">
      <c r="A124" s="10">
        <v>45785</v>
      </c>
      <c r="B124" s="4" t="s">
        <v>97</v>
      </c>
      <c r="C124" s="5">
        <v>3.33</v>
      </c>
      <c r="D124" s="4" t="s">
        <v>11</v>
      </c>
    </row>
    <row r="125" spans="1:4" x14ac:dyDescent="0.25">
      <c r="A125" s="10">
        <v>45785</v>
      </c>
      <c r="B125" s="4" t="s">
        <v>129</v>
      </c>
      <c r="C125" s="5">
        <v>5.98</v>
      </c>
      <c r="D125" s="4" t="s">
        <v>11</v>
      </c>
    </row>
    <row r="126" spans="1:4" x14ac:dyDescent="0.25">
      <c r="A126" s="10">
        <v>45785</v>
      </c>
      <c r="B126" s="4" t="s">
        <v>142</v>
      </c>
      <c r="C126" s="5">
        <v>8.4600000000000009</v>
      </c>
      <c r="D126" s="4" t="s">
        <v>11</v>
      </c>
    </row>
    <row r="127" spans="1:4" x14ac:dyDescent="0.25">
      <c r="A127" s="10">
        <v>45786</v>
      </c>
      <c r="B127" s="4" t="s">
        <v>119</v>
      </c>
      <c r="C127" s="5">
        <v>23.2</v>
      </c>
      <c r="D127" s="4" t="s">
        <v>11</v>
      </c>
    </row>
    <row r="128" spans="1:4" x14ac:dyDescent="0.25">
      <c r="A128" s="10">
        <v>45788</v>
      </c>
      <c r="B128" s="4" t="s">
        <v>97</v>
      </c>
      <c r="C128" s="5">
        <v>9.8000000000000007</v>
      </c>
      <c r="D128" s="4" t="s">
        <v>11</v>
      </c>
    </row>
    <row r="129" spans="1:4" x14ac:dyDescent="0.25">
      <c r="A129" s="10">
        <v>45789</v>
      </c>
      <c r="B129" s="4" t="s">
        <v>103</v>
      </c>
      <c r="C129" s="5">
        <v>3.7</v>
      </c>
      <c r="D129" s="4" t="s">
        <v>12</v>
      </c>
    </row>
    <row r="130" spans="1:4" x14ac:dyDescent="0.25">
      <c r="A130" s="10">
        <v>45789</v>
      </c>
      <c r="B130" s="4" t="s">
        <v>97</v>
      </c>
      <c r="C130" s="5">
        <v>80</v>
      </c>
      <c r="D130" s="4" t="s">
        <v>11</v>
      </c>
    </row>
    <row r="131" spans="1:4" x14ac:dyDescent="0.25">
      <c r="A131" s="10">
        <v>45789</v>
      </c>
      <c r="B131" s="4" t="s">
        <v>104</v>
      </c>
      <c r="C131" s="5">
        <v>22.05</v>
      </c>
      <c r="D131" s="4" t="s">
        <v>10</v>
      </c>
    </row>
    <row r="132" spans="1:4" x14ac:dyDescent="0.25">
      <c r="A132" s="10">
        <v>45790</v>
      </c>
      <c r="B132" s="4" t="s">
        <v>99</v>
      </c>
      <c r="C132" s="5">
        <v>50</v>
      </c>
      <c r="D132" s="4" t="s">
        <v>17</v>
      </c>
    </row>
    <row r="133" spans="1:4" x14ac:dyDescent="0.25">
      <c r="A133" s="10">
        <v>45791</v>
      </c>
      <c r="B133" s="4" t="s">
        <v>100</v>
      </c>
      <c r="C133" s="5">
        <v>10.66</v>
      </c>
      <c r="D133" s="4" t="s">
        <v>11</v>
      </c>
    </row>
    <row r="134" spans="1:4" x14ac:dyDescent="0.25">
      <c r="A134" s="10">
        <v>45791</v>
      </c>
      <c r="B134" s="4" t="s">
        <v>97</v>
      </c>
      <c r="C134" s="5">
        <v>2.2200000000000002</v>
      </c>
      <c r="D134" s="4" t="s">
        <v>11</v>
      </c>
    </row>
    <row r="135" spans="1:4" x14ac:dyDescent="0.25">
      <c r="A135" s="10">
        <v>45792</v>
      </c>
      <c r="B135" s="4" t="s">
        <v>103</v>
      </c>
      <c r="C135" s="5">
        <v>4.9000000000000004</v>
      </c>
      <c r="D135" s="4" t="s">
        <v>12</v>
      </c>
    </row>
    <row r="136" spans="1:4" x14ac:dyDescent="0.25">
      <c r="A136" s="10">
        <v>45792</v>
      </c>
      <c r="B136" s="4" t="s">
        <v>109</v>
      </c>
      <c r="C136" s="5">
        <v>50</v>
      </c>
      <c r="D136" s="4" t="s">
        <v>17</v>
      </c>
    </row>
    <row r="137" spans="1:4" x14ac:dyDescent="0.25">
      <c r="A137" s="10">
        <v>45792</v>
      </c>
      <c r="B137" s="4" t="s">
        <v>97</v>
      </c>
      <c r="C137" s="5">
        <v>6.1</v>
      </c>
      <c r="D137" s="4" t="s">
        <v>11</v>
      </c>
    </row>
    <row r="138" spans="1:4" x14ac:dyDescent="0.25">
      <c r="A138" s="10">
        <v>45793</v>
      </c>
      <c r="B138" s="4" t="s">
        <v>119</v>
      </c>
      <c r="C138" s="5">
        <v>10.199999999999999</v>
      </c>
      <c r="D138" s="4" t="s">
        <v>11</v>
      </c>
    </row>
    <row r="139" spans="1:4" x14ac:dyDescent="0.25">
      <c r="A139" s="10">
        <v>45794</v>
      </c>
      <c r="B139" s="4" t="s">
        <v>98</v>
      </c>
      <c r="C139" s="5">
        <v>4.9000000000000004</v>
      </c>
      <c r="D139" s="4" t="s">
        <v>12</v>
      </c>
    </row>
    <row r="140" spans="1:4" x14ac:dyDescent="0.25">
      <c r="A140" s="10">
        <v>45795</v>
      </c>
      <c r="B140" s="4" t="s">
        <v>132</v>
      </c>
      <c r="C140" s="5">
        <v>50.89</v>
      </c>
      <c r="D140" s="4" t="s">
        <v>10</v>
      </c>
    </row>
    <row r="141" spans="1:4" x14ac:dyDescent="0.25">
      <c r="A141" s="10">
        <v>45795</v>
      </c>
      <c r="B141" s="4" t="s">
        <v>99</v>
      </c>
      <c r="C141" s="5">
        <v>50</v>
      </c>
      <c r="D141" s="4" t="s">
        <v>17</v>
      </c>
    </row>
    <row r="142" spans="1:4" x14ac:dyDescent="0.25">
      <c r="A142" s="10">
        <v>45795</v>
      </c>
      <c r="B142" s="4" t="s">
        <v>97</v>
      </c>
      <c r="C142" s="5">
        <v>6.82</v>
      </c>
      <c r="D142" s="4" t="s">
        <v>11</v>
      </c>
    </row>
    <row r="143" spans="1:4" x14ac:dyDescent="0.25">
      <c r="A143" s="10">
        <v>45795</v>
      </c>
      <c r="B143" s="4" t="s">
        <v>129</v>
      </c>
      <c r="C143" s="5">
        <v>3.48</v>
      </c>
      <c r="D143" s="4" t="s">
        <v>11</v>
      </c>
    </row>
    <row r="144" spans="1:4" x14ac:dyDescent="0.25">
      <c r="A144" s="10">
        <v>45796</v>
      </c>
      <c r="B144" s="4" t="s">
        <v>111</v>
      </c>
      <c r="C144" s="5">
        <v>3.49</v>
      </c>
      <c r="D144" s="4" t="s">
        <v>17</v>
      </c>
    </row>
    <row r="145" spans="1:4" x14ac:dyDescent="0.25">
      <c r="A145" s="10">
        <v>45796</v>
      </c>
      <c r="B145" s="4" t="s">
        <v>112</v>
      </c>
      <c r="C145" s="5">
        <v>0.33</v>
      </c>
      <c r="D145" s="4" t="s">
        <v>17</v>
      </c>
    </row>
    <row r="146" spans="1:4" x14ac:dyDescent="0.25">
      <c r="A146" s="10">
        <v>45796</v>
      </c>
      <c r="B146" s="4" t="s">
        <v>113</v>
      </c>
      <c r="C146" s="5">
        <v>179</v>
      </c>
      <c r="D146" s="4" t="s">
        <v>17</v>
      </c>
    </row>
    <row r="147" spans="1:4" x14ac:dyDescent="0.25">
      <c r="A147" s="10">
        <v>45796</v>
      </c>
      <c r="B147" s="4" t="s">
        <v>103</v>
      </c>
      <c r="C147" s="5">
        <v>4.9000000000000004</v>
      </c>
      <c r="D147" s="4" t="s">
        <v>12</v>
      </c>
    </row>
    <row r="148" spans="1:4" x14ac:dyDescent="0.25">
      <c r="A148" s="10">
        <v>45796</v>
      </c>
      <c r="B148" s="4" t="s">
        <v>97</v>
      </c>
      <c r="C148" s="5">
        <v>6.14</v>
      </c>
      <c r="D148" s="4" t="s">
        <v>11</v>
      </c>
    </row>
    <row r="149" spans="1:4" x14ac:dyDescent="0.25">
      <c r="A149" s="10">
        <v>45798</v>
      </c>
      <c r="B149" s="4" t="s">
        <v>114</v>
      </c>
      <c r="C149" s="5">
        <v>1</v>
      </c>
      <c r="D149" s="4" t="s">
        <v>11</v>
      </c>
    </row>
    <row r="150" spans="1:4" x14ac:dyDescent="0.25">
      <c r="A150" s="10">
        <v>45798</v>
      </c>
      <c r="B150" s="4" t="s">
        <v>97</v>
      </c>
      <c r="C150" s="5">
        <v>8.36</v>
      </c>
      <c r="D150" s="4" t="s">
        <v>11</v>
      </c>
    </row>
    <row r="151" spans="1:4" x14ac:dyDescent="0.25">
      <c r="A151" s="10">
        <v>45799</v>
      </c>
      <c r="B151" s="4" t="s">
        <v>114</v>
      </c>
      <c r="C151" s="5">
        <v>1</v>
      </c>
      <c r="D151" s="4" t="s">
        <v>11</v>
      </c>
    </row>
    <row r="152" spans="1:4" x14ac:dyDescent="0.25">
      <c r="A152" s="10">
        <v>45799</v>
      </c>
      <c r="B152" s="4" t="s">
        <v>97</v>
      </c>
      <c r="C152" s="5">
        <v>5.92</v>
      </c>
      <c r="D152" s="4" t="s">
        <v>11</v>
      </c>
    </row>
    <row r="153" spans="1:4" x14ac:dyDescent="0.25">
      <c r="A153" s="10">
        <v>45800</v>
      </c>
      <c r="B153" s="4" t="s">
        <v>129</v>
      </c>
      <c r="C153" s="5">
        <v>3.63</v>
      </c>
      <c r="D153" s="4" t="s">
        <v>11</v>
      </c>
    </row>
    <row r="154" spans="1:4" x14ac:dyDescent="0.25">
      <c r="A154" s="10">
        <v>45800</v>
      </c>
      <c r="B154" s="4" t="s">
        <v>129</v>
      </c>
      <c r="C154" s="5">
        <v>5.72</v>
      </c>
      <c r="D154" s="4" t="s">
        <v>11</v>
      </c>
    </row>
    <row r="155" spans="1:4" x14ac:dyDescent="0.25">
      <c r="A155" s="10">
        <v>45800</v>
      </c>
      <c r="B155" s="4" t="s">
        <v>143</v>
      </c>
      <c r="C155" s="5">
        <v>4.9000000000000004</v>
      </c>
      <c r="D155" s="4" t="s">
        <v>12</v>
      </c>
    </row>
    <row r="156" spans="1:4" x14ac:dyDescent="0.25">
      <c r="A156" s="10">
        <v>45800</v>
      </c>
      <c r="B156" s="4" t="s">
        <v>108</v>
      </c>
      <c r="C156" s="5">
        <v>9.8000000000000007</v>
      </c>
      <c r="D156" s="4" t="s">
        <v>12</v>
      </c>
    </row>
    <row r="157" spans="1:4" x14ac:dyDescent="0.25">
      <c r="A157" s="10">
        <v>45802</v>
      </c>
      <c r="B157" s="4" t="s">
        <v>99</v>
      </c>
      <c r="C157" s="5">
        <v>50</v>
      </c>
      <c r="D157" s="4" t="s">
        <v>17</v>
      </c>
    </row>
    <row r="158" spans="1:4" x14ac:dyDescent="0.25">
      <c r="A158" s="10">
        <v>45802</v>
      </c>
      <c r="B158" s="4" t="s">
        <v>97</v>
      </c>
      <c r="C158" s="5">
        <v>4.8099999999999996</v>
      </c>
      <c r="D158" s="4" t="s">
        <v>11</v>
      </c>
    </row>
    <row r="159" spans="1:4" x14ac:dyDescent="0.25">
      <c r="A159" s="10">
        <v>45803</v>
      </c>
      <c r="B159" s="4" t="s">
        <v>103</v>
      </c>
      <c r="C159" s="5">
        <v>4.9000000000000004</v>
      </c>
      <c r="D159" s="4" t="s">
        <v>12</v>
      </c>
    </row>
    <row r="160" spans="1:4" x14ac:dyDescent="0.25">
      <c r="A160" s="10">
        <v>45803</v>
      </c>
      <c r="B160" s="4" t="s">
        <v>114</v>
      </c>
      <c r="C160" s="5">
        <v>1.8</v>
      </c>
      <c r="D160" s="4" t="s">
        <v>11</v>
      </c>
    </row>
    <row r="161" spans="1:4" x14ac:dyDescent="0.25">
      <c r="A161" s="10">
        <v>45803</v>
      </c>
      <c r="B161" s="4" t="s">
        <v>99</v>
      </c>
      <c r="C161" s="5">
        <v>30</v>
      </c>
      <c r="D161" s="4" t="s">
        <v>17</v>
      </c>
    </row>
    <row r="162" spans="1:4" x14ac:dyDescent="0.25">
      <c r="A162" s="10">
        <v>45803</v>
      </c>
      <c r="B162" s="4" t="s">
        <v>98</v>
      </c>
      <c r="C162" s="5">
        <v>68.72</v>
      </c>
      <c r="D162" s="4" t="s">
        <v>12</v>
      </c>
    </row>
    <row r="163" spans="1:4" x14ac:dyDescent="0.25">
      <c r="A163" s="10">
        <v>45804</v>
      </c>
      <c r="B163" s="4" t="s">
        <v>97</v>
      </c>
      <c r="C163" s="5">
        <v>5.83</v>
      </c>
      <c r="D163" s="4" t="s">
        <v>11</v>
      </c>
    </row>
    <row r="164" spans="1:4" x14ac:dyDescent="0.25">
      <c r="A164" s="10">
        <v>45804</v>
      </c>
      <c r="B164" s="4" t="s">
        <v>97</v>
      </c>
      <c r="C164" s="5">
        <v>20.010000000000002</v>
      </c>
      <c r="D164" s="4" t="s">
        <v>11</v>
      </c>
    </row>
    <row r="165" spans="1:4" x14ac:dyDescent="0.25">
      <c r="A165" s="10">
        <v>45805</v>
      </c>
      <c r="B165" s="4" t="s">
        <v>99</v>
      </c>
      <c r="C165" s="5">
        <v>100</v>
      </c>
      <c r="D165" s="4" t="s">
        <v>17</v>
      </c>
    </row>
    <row r="166" spans="1:4" x14ac:dyDescent="0.25">
      <c r="A166" s="10">
        <v>45805</v>
      </c>
      <c r="B166" s="4" t="s">
        <v>97</v>
      </c>
      <c r="C166" s="5">
        <v>4.32</v>
      </c>
      <c r="D166" s="4" t="s">
        <v>11</v>
      </c>
    </row>
    <row r="167" spans="1:4" x14ac:dyDescent="0.25">
      <c r="A167" s="10">
        <v>45807</v>
      </c>
      <c r="B167" s="4" t="s">
        <v>143</v>
      </c>
      <c r="C167" s="5">
        <v>6.6</v>
      </c>
      <c r="D167" s="4" t="s">
        <v>12</v>
      </c>
    </row>
    <row r="168" spans="1:4" x14ac:dyDescent="0.25">
      <c r="A168" s="10">
        <v>45809</v>
      </c>
      <c r="B168" s="4" t="s">
        <v>102</v>
      </c>
      <c r="C168" s="5">
        <v>1</v>
      </c>
      <c r="D168" s="4" t="s">
        <v>11</v>
      </c>
    </row>
    <row r="169" spans="1:4" x14ac:dyDescent="0.25">
      <c r="A169" s="10">
        <v>45809</v>
      </c>
      <c r="B169" s="4" t="s">
        <v>100</v>
      </c>
      <c r="C169" s="5">
        <v>6.38</v>
      </c>
      <c r="D169" s="4" t="s">
        <v>11</v>
      </c>
    </row>
    <row r="170" spans="1:4" x14ac:dyDescent="0.25">
      <c r="A170" s="10">
        <v>45809</v>
      </c>
      <c r="B170" s="4" t="s">
        <v>97</v>
      </c>
      <c r="C170" s="5">
        <v>11.45</v>
      </c>
      <c r="D170" s="4" t="s">
        <v>11</v>
      </c>
    </row>
    <row r="171" spans="1:4" x14ac:dyDescent="0.25">
      <c r="A171" s="10">
        <v>45810</v>
      </c>
      <c r="B171" s="4" t="s">
        <v>103</v>
      </c>
      <c r="C171" s="5">
        <v>9.8000000000000007</v>
      </c>
      <c r="D171" s="4" t="s">
        <v>12</v>
      </c>
    </row>
    <row r="172" spans="1:4" x14ac:dyDescent="0.25">
      <c r="A172" s="10">
        <v>45810</v>
      </c>
      <c r="B172" s="4" t="s">
        <v>105</v>
      </c>
      <c r="C172" s="5">
        <v>41.97</v>
      </c>
      <c r="D172" s="4" t="s">
        <v>15</v>
      </c>
    </row>
    <row r="173" spans="1:4" x14ac:dyDescent="0.25">
      <c r="A173" s="10">
        <v>45810</v>
      </c>
      <c r="B173" s="4" t="s">
        <v>97</v>
      </c>
      <c r="C173" s="5">
        <v>4.32</v>
      </c>
      <c r="D173" s="4" t="s">
        <v>11</v>
      </c>
    </row>
    <row r="174" spans="1:4" x14ac:dyDescent="0.25">
      <c r="A174" s="10">
        <v>45810</v>
      </c>
      <c r="B174" s="4" t="s">
        <v>144</v>
      </c>
      <c r="C174" s="5">
        <v>7.78</v>
      </c>
      <c r="D174" s="4" t="s">
        <v>12</v>
      </c>
    </row>
    <row r="175" spans="1:4" x14ac:dyDescent="0.25">
      <c r="A175" s="10">
        <v>45812</v>
      </c>
      <c r="B175" s="4" t="s">
        <v>130</v>
      </c>
      <c r="C175" s="5">
        <v>0.9</v>
      </c>
      <c r="D175" s="4" t="s">
        <v>11</v>
      </c>
    </row>
    <row r="176" spans="1:4" x14ac:dyDescent="0.25">
      <c r="A176" s="10">
        <v>45812</v>
      </c>
      <c r="B176" s="4" t="s">
        <v>110</v>
      </c>
      <c r="C176" s="5">
        <v>31.54</v>
      </c>
      <c r="D176" s="4" t="s">
        <v>10</v>
      </c>
    </row>
    <row r="177" spans="1:4" x14ac:dyDescent="0.25">
      <c r="A177" s="10">
        <v>45812</v>
      </c>
      <c r="B177" s="4" t="s">
        <v>97</v>
      </c>
      <c r="C177" s="5">
        <v>5.9</v>
      </c>
      <c r="D177" s="4" t="s">
        <v>11</v>
      </c>
    </row>
    <row r="178" spans="1:4" x14ac:dyDescent="0.25">
      <c r="A178" s="10">
        <v>45813</v>
      </c>
      <c r="B178" s="4" t="s">
        <v>103</v>
      </c>
      <c r="C178" s="5">
        <v>4.9000000000000004</v>
      </c>
      <c r="D178" s="4" t="s">
        <v>12</v>
      </c>
    </row>
    <row r="179" spans="1:4" x14ac:dyDescent="0.25">
      <c r="A179" s="10">
        <v>45814</v>
      </c>
      <c r="B179" s="4" t="s">
        <v>119</v>
      </c>
      <c r="C179" s="5">
        <v>6.96</v>
      </c>
      <c r="D179" s="4" t="s">
        <v>11</v>
      </c>
    </row>
    <row r="180" spans="1:4" x14ac:dyDescent="0.25">
      <c r="A180" s="10">
        <v>45814</v>
      </c>
      <c r="B180" s="4" t="s">
        <v>122</v>
      </c>
      <c r="C180" s="5">
        <v>10</v>
      </c>
      <c r="D180" s="4" t="s">
        <v>17</v>
      </c>
    </row>
    <row r="181" spans="1:4" x14ac:dyDescent="0.25">
      <c r="A181" s="10">
        <v>45816</v>
      </c>
      <c r="B181" s="4" t="s">
        <v>123</v>
      </c>
      <c r="C181" s="5">
        <v>7.8</v>
      </c>
      <c r="D181" s="4" t="s">
        <v>11</v>
      </c>
    </row>
    <row r="182" spans="1:4" x14ac:dyDescent="0.25">
      <c r="A182" s="10">
        <v>45816</v>
      </c>
      <c r="B182" s="4" t="s">
        <v>97</v>
      </c>
      <c r="C182" s="5">
        <v>5.92</v>
      </c>
      <c r="D182" s="4" t="s">
        <v>11</v>
      </c>
    </row>
    <row r="183" spans="1:4" x14ac:dyDescent="0.25">
      <c r="A183" s="10">
        <v>45817</v>
      </c>
      <c r="B183" s="4" t="s">
        <v>111</v>
      </c>
      <c r="C183" s="5">
        <v>111.84</v>
      </c>
      <c r="D183" s="4" t="s">
        <v>17</v>
      </c>
    </row>
    <row r="184" spans="1:4" x14ac:dyDescent="0.25">
      <c r="A184" s="10">
        <v>45817</v>
      </c>
      <c r="B184" s="4" t="s">
        <v>112</v>
      </c>
      <c r="C184" s="5">
        <v>0.33</v>
      </c>
      <c r="D184" s="4" t="s">
        <v>17</v>
      </c>
    </row>
    <row r="185" spans="1:4" x14ac:dyDescent="0.25">
      <c r="A185" s="10">
        <v>45817</v>
      </c>
      <c r="B185" s="4" t="s">
        <v>100</v>
      </c>
      <c r="C185" s="5">
        <v>13.94</v>
      </c>
      <c r="D185" s="4" t="s">
        <v>11</v>
      </c>
    </row>
    <row r="186" spans="1:4" x14ac:dyDescent="0.25">
      <c r="A186" s="10">
        <v>45820</v>
      </c>
      <c r="B186" s="4" t="s">
        <v>97</v>
      </c>
      <c r="C186" s="5">
        <v>9.39</v>
      </c>
      <c r="D186" s="4" t="s">
        <v>11</v>
      </c>
    </row>
    <row r="187" spans="1:4" x14ac:dyDescent="0.25">
      <c r="A187" s="10">
        <v>45820</v>
      </c>
      <c r="B187" s="4" t="s">
        <v>135</v>
      </c>
      <c r="C187" s="5">
        <v>11.6</v>
      </c>
      <c r="D187" s="4" t="s">
        <v>13</v>
      </c>
    </row>
    <row r="188" spans="1:4" x14ac:dyDescent="0.25">
      <c r="A188" s="10">
        <v>45820</v>
      </c>
      <c r="B188" s="4" t="s">
        <v>104</v>
      </c>
      <c r="C188" s="5">
        <v>21.25</v>
      </c>
      <c r="D188" s="4" t="s">
        <v>10</v>
      </c>
    </row>
    <row r="189" spans="1:4" x14ac:dyDescent="0.25">
      <c r="A189" s="10">
        <v>45821</v>
      </c>
      <c r="B189" s="4" t="s">
        <v>145</v>
      </c>
      <c r="C189" s="5">
        <v>37.1</v>
      </c>
      <c r="D189" s="4" t="s">
        <v>13</v>
      </c>
    </row>
    <row r="190" spans="1:4" x14ac:dyDescent="0.25">
      <c r="A190" s="10">
        <v>45821</v>
      </c>
      <c r="B190" s="4" t="s">
        <v>146</v>
      </c>
      <c r="C190" s="5">
        <v>5</v>
      </c>
      <c r="D190" s="4" t="s">
        <v>12</v>
      </c>
    </row>
    <row r="191" spans="1:4" x14ac:dyDescent="0.25">
      <c r="A191" s="10">
        <v>45823</v>
      </c>
      <c r="B191" s="4" t="s">
        <v>109</v>
      </c>
      <c r="C191" s="5">
        <v>50</v>
      </c>
      <c r="D191" s="4" t="s">
        <v>17</v>
      </c>
    </row>
    <row r="192" spans="1:4" x14ac:dyDescent="0.25">
      <c r="A192" s="10">
        <v>45823</v>
      </c>
      <c r="B192" s="4" t="s">
        <v>97</v>
      </c>
      <c r="C192" s="5">
        <v>14.4</v>
      </c>
      <c r="D192" s="4" t="s">
        <v>11</v>
      </c>
    </row>
    <row r="193" spans="1:4" x14ac:dyDescent="0.25">
      <c r="A193" s="10">
        <v>45823</v>
      </c>
      <c r="B193" s="4" t="s">
        <v>122</v>
      </c>
      <c r="C193" s="5">
        <v>170</v>
      </c>
      <c r="D193" s="4" t="s">
        <v>17</v>
      </c>
    </row>
    <row r="194" spans="1:4" x14ac:dyDescent="0.25">
      <c r="A194" s="10">
        <v>45824</v>
      </c>
      <c r="B194" s="4" t="s">
        <v>130</v>
      </c>
      <c r="C194" s="5">
        <v>1.2</v>
      </c>
      <c r="D194" s="4" t="s">
        <v>11</v>
      </c>
    </row>
    <row r="195" spans="1:4" x14ac:dyDescent="0.25">
      <c r="A195" s="10">
        <v>45824</v>
      </c>
      <c r="B195" s="4" t="s">
        <v>97</v>
      </c>
      <c r="C195" s="5">
        <v>4.37</v>
      </c>
      <c r="D195" s="4" t="s">
        <v>11</v>
      </c>
    </row>
    <row r="196" spans="1:4" x14ac:dyDescent="0.25">
      <c r="A196" s="10">
        <v>45825</v>
      </c>
      <c r="B196" s="4" t="s">
        <v>132</v>
      </c>
      <c r="C196" s="5">
        <v>50.89</v>
      </c>
      <c r="D196" s="4" t="s">
        <v>10</v>
      </c>
    </row>
    <row r="197" spans="1:4" x14ac:dyDescent="0.25">
      <c r="A197" s="10">
        <v>45825</v>
      </c>
      <c r="B197" s="4" t="s">
        <v>103</v>
      </c>
      <c r="C197" s="5">
        <v>9.8000000000000007</v>
      </c>
      <c r="D197" s="4" t="s">
        <v>12</v>
      </c>
    </row>
    <row r="198" spans="1:4" x14ac:dyDescent="0.25">
      <c r="A198" s="10">
        <v>45826</v>
      </c>
      <c r="B198" s="4" t="s">
        <v>122</v>
      </c>
      <c r="C198" s="5">
        <v>118</v>
      </c>
      <c r="D198" s="4" t="s">
        <v>17</v>
      </c>
    </row>
    <row r="199" spans="1:4" x14ac:dyDescent="0.25">
      <c r="A199" s="10">
        <v>45826</v>
      </c>
      <c r="B199" s="4" t="s">
        <v>147</v>
      </c>
      <c r="C199" s="5">
        <v>41.43</v>
      </c>
      <c r="D199" s="4" t="s">
        <v>12</v>
      </c>
    </row>
    <row r="200" spans="1:4" x14ac:dyDescent="0.25">
      <c r="A200" s="10">
        <v>45827</v>
      </c>
      <c r="B200" s="4" t="s">
        <v>113</v>
      </c>
      <c r="C200" s="5">
        <v>179</v>
      </c>
      <c r="D200" s="4" t="s">
        <v>17</v>
      </c>
    </row>
    <row r="201" spans="1:4" x14ac:dyDescent="0.25">
      <c r="A201" s="10">
        <v>45827</v>
      </c>
      <c r="B201" s="4" t="s">
        <v>128</v>
      </c>
      <c r="C201" s="5">
        <v>6.5</v>
      </c>
      <c r="D201" s="4" t="s">
        <v>17</v>
      </c>
    </row>
    <row r="202" spans="1:4" x14ac:dyDescent="0.25">
      <c r="A202" s="10">
        <v>45827</v>
      </c>
      <c r="B202" s="4" t="s">
        <v>97</v>
      </c>
      <c r="C202" s="5">
        <v>5.92</v>
      </c>
      <c r="D202" s="4" t="s">
        <v>11</v>
      </c>
    </row>
    <row r="203" spans="1:4" x14ac:dyDescent="0.25">
      <c r="A203" s="10">
        <v>45827</v>
      </c>
      <c r="B203" s="4" t="s">
        <v>100</v>
      </c>
      <c r="C203" s="5">
        <v>3.99</v>
      </c>
      <c r="D203" s="4" t="s">
        <v>11</v>
      </c>
    </row>
    <row r="204" spans="1:4" x14ac:dyDescent="0.25">
      <c r="A204" s="10">
        <v>45827</v>
      </c>
      <c r="B204" s="4" t="s">
        <v>129</v>
      </c>
      <c r="C204" s="5">
        <v>2.98</v>
      </c>
      <c r="D204" s="4" t="s">
        <v>11</v>
      </c>
    </row>
    <row r="205" spans="1:4" x14ac:dyDescent="0.25">
      <c r="A205" s="10">
        <v>45827</v>
      </c>
      <c r="B205" s="4" t="s">
        <v>129</v>
      </c>
      <c r="C205" s="5">
        <v>0.8</v>
      </c>
      <c r="D205" s="4" t="s">
        <v>11</v>
      </c>
    </row>
    <row r="206" spans="1:4" x14ac:dyDescent="0.25">
      <c r="A206" s="10">
        <v>45828</v>
      </c>
      <c r="B206" s="4" t="s">
        <v>148</v>
      </c>
      <c r="C206" s="5">
        <v>11.53</v>
      </c>
      <c r="D206" s="4" t="s">
        <v>11</v>
      </c>
    </row>
    <row r="207" spans="1:4" x14ac:dyDescent="0.25">
      <c r="A207" s="10">
        <v>45831</v>
      </c>
      <c r="B207" s="4" t="s">
        <v>119</v>
      </c>
      <c r="C207" s="5">
        <v>1.69</v>
      </c>
      <c r="D207" s="4" t="s">
        <v>11</v>
      </c>
    </row>
    <row r="208" spans="1:4" x14ac:dyDescent="0.25">
      <c r="A208" s="10">
        <v>45833</v>
      </c>
      <c r="B208" s="4" t="s">
        <v>122</v>
      </c>
      <c r="C208" s="5">
        <v>50</v>
      </c>
      <c r="D208" s="4" t="s">
        <v>17</v>
      </c>
    </row>
    <row r="209" spans="1:4" x14ac:dyDescent="0.25">
      <c r="A209" s="10">
        <v>45833</v>
      </c>
      <c r="B209" s="4" t="s">
        <v>128</v>
      </c>
      <c r="C209" s="5">
        <v>30</v>
      </c>
      <c r="D209" s="4" t="s">
        <v>17</v>
      </c>
    </row>
    <row r="210" spans="1:4" x14ac:dyDescent="0.25">
      <c r="A210" s="10">
        <v>45834</v>
      </c>
      <c r="B210" s="4" t="s">
        <v>97</v>
      </c>
      <c r="C210" s="5">
        <v>5.92</v>
      </c>
      <c r="D210" s="4" t="s">
        <v>11</v>
      </c>
    </row>
    <row r="211" spans="1:4" x14ac:dyDescent="0.25">
      <c r="A211" s="10">
        <v>45837</v>
      </c>
      <c r="B211" s="4" t="s">
        <v>100</v>
      </c>
      <c r="C211" s="5">
        <v>12.33</v>
      </c>
      <c r="D211" s="4" t="s">
        <v>11</v>
      </c>
    </row>
    <row r="212" spans="1:4" x14ac:dyDescent="0.25">
      <c r="A212" s="10">
        <v>45839</v>
      </c>
      <c r="B212" s="4" t="s">
        <v>111</v>
      </c>
      <c r="C212" s="5">
        <v>120</v>
      </c>
      <c r="D212" s="4" t="s">
        <v>17</v>
      </c>
    </row>
    <row r="213" spans="1:4" x14ac:dyDescent="0.25">
      <c r="A213" s="10">
        <v>45839</v>
      </c>
      <c r="B213" s="4" t="s">
        <v>112</v>
      </c>
      <c r="C213" s="5">
        <v>0.33</v>
      </c>
      <c r="D213" s="4" t="s">
        <v>17</v>
      </c>
    </row>
    <row r="214" spans="1:4" x14ac:dyDescent="0.25">
      <c r="A214" s="10">
        <v>45841</v>
      </c>
      <c r="B214" s="4" t="s">
        <v>130</v>
      </c>
      <c r="C214" s="5">
        <v>1</v>
      </c>
      <c r="D214" s="4" t="s">
        <v>11</v>
      </c>
    </row>
    <row r="215" spans="1:4" x14ac:dyDescent="0.25">
      <c r="A215" s="10">
        <v>45841</v>
      </c>
      <c r="B215" s="4" t="s">
        <v>100</v>
      </c>
      <c r="C215" s="5">
        <v>9.83</v>
      </c>
      <c r="D215" s="4" t="s">
        <v>11</v>
      </c>
    </row>
    <row r="216" spans="1:4" x14ac:dyDescent="0.25">
      <c r="A216" s="10">
        <v>45842</v>
      </c>
      <c r="B216" s="4" t="s">
        <v>149</v>
      </c>
      <c r="C216" s="5">
        <v>9.8000000000000007</v>
      </c>
      <c r="D216" s="4" t="s">
        <v>17</v>
      </c>
    </row>
    <row r="217" spans="1:4" x14ac:dyDescent="0.25">
      <c r="A217" s="10">
        <v>45842</v>
      </c>
      <c r="B217" s="4" t="s">
        <v>150</v>
      </c>
      <c r="C217" s="5">
        <v>30.8</v>
      </c>
      <c r="D217" s="4" t="s">
        <v>17</v>
      </c>
    </row>
    <row r="218" spans="1:4" x14ac:dyDescent="0.25">
      <c r="A218" s="10">
        <v>45843</v>
      </c>
      <c r="B218" s="4" t="s">
        <v>128</v>
      </c>
      <c r="C218" s="5">
        <v>35</v>
      </c>
      <c r="D218" s="4" t="s">
        <v>17</v>
      </c>
    </row>
    <row r="219" spans="1:4" x14ac:dyDescent="0.25">
      <c r="A219" s="10">
        <v>45844</v>
      </c>
      <c r="B219" s="4" t="s">
        <v>97</v>
      </c>
      <c r="C219" s="5">
        <v>10.77</v>
      </c>
      <c r="D219" s="4" t="s">
        <v>11</v>
      </c>
    </row>
    <row r="220" spans="1:4" x14ac:dyDescent="0.25">
      <c r="A220" s="10">
        <v>45844</v>
      </c>
      <c r="B220" s="4" t="s">
        <v>149</v>
      </c>
      <c r="C220" s="5">
        <v>16.29</v>
      </c>
      <c r="D220" s="4" t="s">
        <v>17</v>
      </c>
    </row>
    <row r="221" spans="1:4" x14ac:dyDescent="0.25">
      <c r="A221" s="10">
        <v>45846</v>
      </c>
      <c r="B221" s="4" t="s">
        <v>97</v>
      </c>
      <c r="C221" s="5">
        <v>16.29</v>
      </c>
      <c r="D221" s="4" t="s">
        <v>11</v>
      </c>
    </row>
    <row r="222" spans="1:4" x14ac:dyDescent="0.25">
      <c r="A222" s="10">
        <v>45847</v>
      </c>
      <c r="B222" s="4" t="s">
        <v>100</v>
      </c>
      <c r="C222" s="5">
        <v>9.17</v>
      </c>
      <c r="D222" s="4" t="s">
        <v>11</v>
      </c>
    </row>
    <row r="223" spans="1:4" x14ac:dyDescent="0.25">
      <c r="A223" s="10">
        <v>45848</v>
      </c>
      <c r="B223" s="4" t="s">
        <v>97</v>
      </c>
      <c r="C223" s="5">
        <v>5.92</v>
      </c>
      <c r="D223" s="4" t="s">
        <v>11</v>
      </c>
    </row>
    <row r="224" spans="1:4" x14ac:dyDescent="0.25">
      <c r="A224" s="10">
        <v>45848</v>
      </c>
      <c r="B224" s="4" t="s">
        <v>147</v>
      </c>
      <c r="C224" s="5">
        <v>79.319999999999993</v>
      </c>
      <c r="D224" s="4" t="s">
        <v>12</v>
      </c>
    </row>
    <row r="225" spans="1:4" x14ac:dyDescent="0.25">
      <c r="A225" s="10">
        <v>45848</v>
      </c>
      <c r="B225" s="4" t="s">
        <v>129</v>
      </c>
      <c r="C225" s="5">
        <v>4.3899999999999997</v>
      </c>
      <c r="D225" s="4" t="s">
        <v>11</v>
      </c>
    </row>
    <row r="226" spans="1:4" x14ac:dyDescent="0.25">
      <c r="A226" s="10">
        <v>45848</v>
      </c>
      <c r="B226" s="4" t="s">
        <v>151</v>
      </c>
      <c r="C226" s="5">
        <v>55</v>
      </c>
      <c r="D226" s="4" t="s">
        <v>13</v>
      </c>
    </row>
    <row r="227" spans="1:4" x14ac:dyDescent="0.25">
      <c r="A227" s="10">
        <v>45848</v>
      </c>
      <c r="B227" s="4" t="s">
        <v>122</v>
      </c>
      <c r="C227" s="5">
        <v>10</v>
      </c>
      <c r="D227" s="4" t="s">
        <v>17</v>
      </c>
    </row>
    <row r="228" spans="1:4" x14ac:dyDescent="0.25">
      <c r="A228" s="10">
        <v>45848</v>
      </c>
      <c r="B228" s="4" t="s">
        <v>128</v>
      </c>
      <c r="C228" s="5">
        <v>1</v>
      </c>
      <c r="D228" s="4" t="s">
        <v>17</v>
      </c>
    </row>
    <row r="229" spans="1:4" x14ac:dyDescent="0.25">
      <c r="A229" s="10">
        <v>45848</v>
      </c>
      <c r="B229" s="4" t="s">
        <v>128</v>
      </c>
      <c r="C229" s="5">
        <v>1</v>
      </c>
      <c r="D229" s="4" t="s">
        <v>17</v>
      </c>
    </row>
    <row r="230" spans="1:4" x14ac:dyDescent="0.25">
      <c r="A230" s="10">
        <v>45848</v>
      </c>
      <c r="B230" s="4" t="s">
        <v>128</v>
      </c>
      <c r="C230" s="5">
        <v>20</v>
      </c>
      <c r="D230" s="4" t="s">
        <v>17</v>
      </c>
    </row>
    <row r="231" spans="1:4" x14ac:dyDescent="0.25">
      <c r="A231" s="10">
        <v>45849</v>
      </c>
      <c r="B231" s="4" t="s">
        <v>152</v>
      </c>
      <c r="C231" s="5">
        <v>52.97</v>
      </c>
      <c r="D231" s="4" t="s">
        <v>13</v>
      </c>
    </row>
    <row r="232" spans="1:4" x14ac:dyDescent="0.25">
      <c r="A232" s="10">
        <v>45849</v>
      </c>
      <c r="B232" s="4" t="s">
        <v>153</v>
      </c>
      <c r="C232" s="5">
        <v>5.48</v>
      </c>
      <c r="D232" s="4" t="s">
        <v>13</v>
      </c>
    </row>
    <row r="233" spans="1:4" x14ac:dyDescent="0.25">
      <c r="A233" s="10">
        <v>45849</v>
      </c>
      <c r="B233" s="4" t="s">
        <v>154</v>
      </c>
      <c r="C233" s="5">
        <v>45</v>
      </c>
      <c r="D233" s="4" t="s">
        <v>17</v>
      </c>
    </row>
    <row r="234" spans="1:4" x14ac:dyDescent="0.25">
      <c r="A234" s="10">
        <v>45849</v>
      </c>
      <c r="B234" s="4" t="s">
        <v>155</v>
      </c>
      <c r="C234" s="5">
        <v>58.08</v>
      </c>
      <c r="D234" s="4" t="s">
        <v>17</v>
      </c>
    </row>
    <row r="235" spans="1:4" x14ac:dyDescent="0.25">
      <c r="A235" s="10">
        <v>45849</v>
      </c>
      <c r="B235" s="4" t="s">
        <v>122</v>
      </c>
      <c r="C235" s="5">
        <v>55</v>
      </c>
      <c r="D235" s="4" t="s">
        <v>17</v>
      </c>
    </row>
    <row r="236" spans="1:4" x14ac:dyDescent="0.25">
      <c r="A236" s="10">
        <v>45850</v>
      </c>
      <c r="B236" s="4" t="s">
        <v>104</v>
      </c>
      <c r="C236" s="5">
        <v>20.92</v>
      </c>
      <c r="D236" s="4" t="s">
        <v>10</v>
      </c>
    </row>
    <row r="237" spans="1:4" x14ac:dyDescent="0.25">
      <c r="A237" s="10">
        <v>45851</v>
      </c>
      <c r="B237" s="4" t="s">
        <v>99</v>
      </c>
      <c r="C237" s="5">
        <v>50</v>
      </c>
      <c r="D237" s="4" t="s">
        <v>17</v>
      </c>
    </row>
    <row r="238" spans="1:4" x14ac:dyDescent="0.25">
      <c r="A238" s="10">
        <v>45851</v>
      </c>
      <c r="B238" s="4" t="s">
        <v>97</v>
      </c>
      <c r="C238" s="5">
        <v>5.92</v>
      </c>
      <c r="D238" s="4" t="s">
        <v>11</v>
      </c>
    </row>
    <row r="239" spans="1:4" x14ac:dyDescent="0.25">
      <c r="A239" s="10">
        <v>45853</v>
      </c>
      <c r="B239" s="4" t="s">
        <v>109</v>
      </c>
      <c r="C239" s="5">
        <v>50</v>
      </c>
      <c r="D239" s="4" t="s">
        <v>17</v>
      </c>
    </row>
    <row r="240" spans="1:4" x14ac:dyDescent="0.25">
      <c r="A240" s="10">
        <v>45853</v>
      </c>
      <c r="B240" s="4" t="s">
        <v>97</v>
      </c>
      <c r="C240" s="5">
        <v>5</v>
      </c>
      <c r="D240" s="4" t="s">
        <v>11</v>
      </c>
    </row>
    <row r="241" spans="1:4" x14ac:dyDescent="0.25">
      <c r="A241" s="10">
        <v>45854</v>
      </c>
      <c r="B241" s="4" t="s">
        <v>103</v>
      </c>
      <c r="C241" s="5">
        <v>4.9000000000000004</v>
      </c>
      <c r="D241" s="4" t="s">
        <v>12</v>
      </c>
    </row>
    <row r="242" spans="1:4" x14ac:dyDescent="0.25">
      <c r="A242" s="10">
        <v>45855</v>
      </c>
      <c r="B242" s="4" t="s">
        <v>132</v>
      </c>
      <c r="C242" s="5">
        <v>59.89</v>
      </c>
      <c r="D242" s="4" t="s">
        <v>10</v>
      </c>
    </row>
    <row r="243" spans="1:4" x14ac:dyDescent="0.25">
      <c r="A243" s="10">
        <v>45855</v>
      </c>
      <c r="B243" s="4" t="s">
        <v>97</v>
      </c>
      <c r="C243" s="5">
        <v>5.69</v>
      </c>
      <c r="D243" s="4" t="s">
        <v>11</v>
      </c>
    </row>
    <row r="244" spans="1:4" x14ac:dyDescent="0.25">
      <c r="A244" s="10">
        <v>45856</v>
      </c>
      <c r="B244" s="4" t="s">
        <v>149</v>
      </c>
      <c r="C244" s="5">
        <v>50</v>
      </c>
      <c r="D244" s="4" t="s">
        <v>17</v>
      </c>
    </row>
    <row r="245" spans="1:4" x14ac:dyDescent="0.25">
      <c r="A245" s="10">
        <v>45858</v>
      </c>
      <c r="B245" s="4" t="s">
        <v>111</v>
      </c>
      <c r="C245" s="5">
        <v>3.49</v>
      </c>
      <c r="D245" s="4" t="s">
        <v>17</v>
      </c>
    </row>
    <row r="246" spans="1:4" x14ac:dyDescent="0.25">
      <c r="A246" s="10">
        <v>45858</v>
      </c>
      <c r="B246" s="4" t="s">
        <v>112</v>
      </c>
      <c r="C246" s="5">
        <v>0.33</v>
      </c>
      <c r="D246" s="4" t="s">
        <v>17</v>
      </c>
    </row>
    <row r="247" spans="1:4" x14ac:dyDescent="0.25">
      <c r="A247" s="10">
        <v>45858</v>
      </c>
      <c r="B247" s="4" t="s">
        <v>128</v>
      </c>
      <c r="C247" s="5">
        <v>35</v>
      </c>
      <c r="D247" s="4" t="s">
        <v>17</v>
      </c>
    </row>
    <row r="248" spans="1:4" x14ac:dyDescent="0.25">
      <c r="A248" s="10">
        <v>45858</v>
      </c>
      <c r="B248" s="4" t="s">
        <v>152</v>
      </c>
      <c r="C248" s="5">
        <v>33.97</v>
      </c>
      <c r="D248" s="4" t="s">
        <v>13</v>
      </c>
    </row>
    <row r="249" spans="1:4" x14ac:dyDescent="0.25">
      <c r="A249" s="10">
        <v>45858</v>
      </c>
      <c r="B249" s="4" t="s">
        <v>156</v>
      </c>
      <c r="C249" s="5">
        <v>9.8000000000000007</v>
      </c>
      <c r="D249" s="4" t="s">
        <v>12</v>
      </c>
    </row>
    <row r="250" spans="1:4" x14ac:dyDescent="0.25">
      <c r="A250" s="10">
        <v>45858</v>
      </c>
      <c r="B250" s="4" t="s">
        <v>157</v>
      </c>
      <c r="C250" s="5">
        <v>117.95</v>
      </c>
      <c r="D250" s="4" t="s">
        <v>11</v>
      </c>
    </row>
    <row r="251" spans="1:4" x14ac:dyDescent="0.25">
      <c r="A251" s="10">
        <v>45858</v>
      </c>
      <c r="B251" s="4" t="s">
        <v>158</v>
      </c>
      <c r="C251" s="5">
        <v>12.1</v>
      </c>
      <c r="D251" s="4" t="s">
        <v>11</v>
      </c>
    </row>
    <row r="252" spans="1:4" x14ac:dyDescent="0.25">
      <c r="A252" s="10">
        <v>45858</v>
      </c>
      <c r="B252" s="4" t="s">
        <v>134</v>
      </c>
      <c r="C252" s="5">
        <v>13.3</v>
      </c>
      <c r="D252" s="4" t="s">
        <v>13</v>
      </c>
    </row>
    <row r="253" spans="1:4" x14ac:dyDescent="0.25">
      <c r="A253" s="10">
        <v>45860</v>
      </c>
      <c r="B253" s="4" t="s">
        <v>159</v>
      </c>
      <c r="C253" s="5">
        <v>5.87</v>
      </c>
      <c r="D253" s="4" t="s">
        <v>11</v>
      </c>
    </row>
    <row r="254" spans="1:4" x14ac:dyDescent="0.25">
      <c r="A254" s="10">
        <v>45864</v>
      </c>
      <c r="B254" s="4" t="s">
        <v>160</v>
      </c>
      <c r="C254" s="5">
        <v>25.6</v>
      </c>
      <c r="D254" s="4" t="s">
        <v>17</v>
      </c>
    </row>
    <row r="255" spans="1:4" x14ac:dyDescent="0.25">
      <c r="A255" s="10">
        <v>45866</v>
      </c>
      <c r="B255" s="4" t="s">
        <v>113</v>
      </c>
      <c r="C255" s="5">
        <v>179</v>
      </c>
      <c r="D255" s="4" t="s">
        <v>17</v>
      </c>
    </row>
    <row r="256" spans="1:4" x14ac:dyDescent="0.25">
      <c r="A256" s="10">
        <v>45866</v>
      </c>
      <c r="B256" s="4" t="s">
        <v>119</v>
      </c>
      <c r="C256" s="5">
        <v>6.46</v>
      </c>
      <c r="D256" s="4" t="s">
        <v>11</v>
      </c>
    </row>
    <row r="257" spans="1:4" x14ac:dyDescent="0.25">
      <c r="A257" s="10">
        <v>45868</v>
      </c>
      <c r="B257" s="4" t="s">
        <v>122</v>
      </c>
      <c r="C257" s="5">
        <v>26</v>
      </c>
      <c r="D257" s="4" t="s">
        <v>17</v>
      </c>
    </row>
    <row r="258" spans="1:4" x14ac:dyDescent="0.25">
      <c r="A258" s="10">
        <v>45869</v>
      </c>
      <c r="B258" s="4" t="s">
        <v>161</v>
      </c>
      <c r="C258" s="5">
        <v>11.41</v>
      </c>
      <c r="D258" s="4" t="s">
        <v>11</v>
      </c>
    </row>
    <row r="259" spans="1:4" x14ac:dyDescent="0.25">
      <c r="A259" s="10">
        <v>45869</v>
      </c>
      <c r="B259" s="4" t="s">
        <v>162</v>
      </c>
      <c r="C259" s="5">
        <v>13.85</v>
      </c>
      <c r="D259" s="4" t="s">
        <v>11</v>
      </c>
    </row>
    <row r="260" spans="1:4" x14ac:dyDescent="0.25">
      <c r="A260" s="10">
        <v>45871</v>
      </c>
      <c r="B260" s="4" t="s">
        <v>128</v>
      </c>
      <c r="C260" s="5">
        <v>13.25</v>
      </c>
      <c r="D260" s="4" t="s">
        <v>17</v>
      </c>
    </row>
    <row r="261" spans="1:4" x14ac:dyDescent="0.25">
      <c r="A261" s="10">
        <v>45872</v>
      </c>
      <c r="B261" s="4" t="s">
        <v>103</v>
      </c>
      <c r="C261" s="5">
        <v>4.9000000000000004</v>
      </c>
      <c r="D261" s="4" t="s">
        <v>12</v>
      </c>
    </row>
    <row r="262" spans="1:4" x14ac:dyDescent="0.25">
      <c r="A262" s="10">
        <v>45873</v>
      </c>
      <c r="B262" s="4" t="s">
        <v>103</v>
      </c>
      <c r="C262" s="5">
        <v>4.9000000000000004</v>
      </c>
      <c r="D262" s="4" t="s">
        <v>12</v>
      </c>
    </row>
    <row r="263" spans="1:4" x14ac:dyDescent="0.25">
      <c r="A263" s="10">
        <v>45873</v>
      </c>
      <c r="B263" s="4" t="s">
        <v>103</v>
      </c>
      <c r="C263" s="5">
        <v>8.6</v>
      </c>
      <c r="D263" s="4" t="s">
        <v>12</v>
      </c>
    </row>
    <row r="264" spans="1:4" x14ac:dyDescent="0.25">
      <c r="A264" s="10">
        <v>45878</v>
      </c>
      <c r="B264" s="4" t="s">
        <v>128</v>
      </c>
      <c r="C264" s="5">
        <v>5</v>
      </c>
      <c r="D264" s="4" t="s">
        <v>17</v>
      </c>
    </row>
    <row r="265" spans="1:4" x14ac:dyDescent="0.25">
      <c r="A265" s="10">
        <v>45881</v>
      </c>
      <c r="B265" s="4" t="s">
        <v>97</v>
      </c>
      <c r="C265" s="5">
        <v>6.06</v>
      </c>
      <c r="D265" s="4" t="s">
        <v>11</v>
      </c>
    </row>
    <row r="266" spans="1:4" x14ac:dyDescent="0.25">
      <c r="A266" s="10">
        <v>45881</v>
      </c>
      <c r="B266" s="4" t="s">
        <v>99</v>
      </c>
      <c r="C266" s="5">
        <v>70</v>
      </c>
      <c r="D266" s="4" t="s">
        <v>17</v>
      </c>
    </row>
    <row r="267" spans="1:4" x14ac:dyDescent="0.25">
      <c r="A267" s="10">
        <v>45881</v>
      </c>
      <c r="B267" s="4" t="s">
        <v>122</v>
      </c>
      <c r="C267" s="5">
        <v>10</v>
      </c>
      <c r="D267" s="4" t="s">
        <v>17</v>
      </c>
    </row>
    <row r="268" spans="1:4" x14ac:dyDescent="0.25">
      <c r="A268" s="10">
        <v>45881</v>
      </c>
      <c r="B268" s="4" t="s">
        <v>104</v>
      </c>
      <c r="C268" s="5">
        <v>21.04</v>
      </c>
      <c r="D268" s="4" t="s">
        <v>10</v>
      </c>
    </row>
    <row r="269" spans="1:4" x14ac:dyDescent="0.25">
      <c r="A269" s="10">
        <v>45882</v>
      </c>
      <c r="B269" s="4" t="s">
        <v>97</v>
      </c>
      <c r="C269" s="5">
        <v>4.71</v>
      </c>
      <c r="D269" s="4" t="s">
        <v>11</v>
      </c>
    </row>
    <row r="270" spans="1:4" x14ac:dyDescent="0.25">
      <c r="A270" s="10">
        <v>45883</v>
      </c>
      <c r="B270" s="4" t="s">
        <v>122</v>
      </c>
      <c r="C270" s="5">
        <v>24</v>
      </c>
      <c r="D270" s="4" t="s">
        <v>17</v>
      </c>
    </row>
    <row r="271" spans="1:4" x14ac:dyDescent="0.25">
      <c r="A271" s="10">
        <v>45884</v>
      </c>
      <c r="B271" s="4" t="s">
        <v>109</v>
      </c>
      <c r="C271" s="5">
        <v>50</v>
      </c>
      <c r="D271" s="4" t="s">
        <v>17</v>
      </c>
    </row>
    <row r="272" spans="1:4" x14ac:dyDescent="0.25">
      <c r="A272" s="10">
        <v>45884</v>
      </c>
      <c r="B272" s="4" t="s">
        <v>163</v>
      </c>
      <c r="C272" s="5">
        <v>13.01</v>
      </c>
      <c r="D272" s="4" t="s">
        <v>17</v>
      </c>
    </row>
    <row r="273" spans="1:4" x14ac:dyDescent="0.25">
      <c r="A273" s="10">
        <v>45884</v>
      </c>
      <c r="B273" s="4" t="s">
        <v>164</v>
      </c>
      <c r="C273" s="5">
        <v>5.99</v>
      </c>
      <c r="D273" s="4" t="s">
        <v>11</v>
      </c>
    </row>
    <row r="274" spans="1:4" x14ac:dyDescent="0.25">
      <c r="A274" s="10">
        <v>45884</v>
      </c>
      <c r="B274" s="4" t="s">
        <v>165</v>
      </c>
      <c r="C274" s="5">
        <v>21.63</v>
      </c>
      <c r="D274" s="4" t="s">
        <v>13</v>
      </c>
    </row>
    <row r="275" spans="1:4" x14ac:dyDescent="0.25">
      <c r="A275" s="10">
        <v>45884</v>
      </c>
      <c r="B275" s="4" t="s">
        <v>166</v>
      </c>
      <c r="C275" s="5">
        <v>43.04</v>
      </c>
      <c r="D275" s="4" t="s">
        <v>12</v>
      </c>
    </row>
    <row r="276" spans="1:4" x14ac:dyDescent="0.25">
      <c r="A276" s="10">
        <v>45885</v>
      </c>
      <c r="B276" s="4" t="s">
        <v>149</v>
      </c>
      <c r="C276" s="5">
        <v>50</v>
      </c>
      <c r="D276" s="4" t="s">
        <v>17</v>
      </c>
    </row>
    <row r="277" spans="1:4" x14ac:dyDescent="0.25">
      <c r="A277" s="10">
        <v>45886</v>
      </c>
      <c r="B277" s="4" t="s">
        <v>132</v>
      </c>
      <c r="C277" s="5">
        <v>50.89</v>
      </c>
      <c r="D277" s="4" t="s">
        <v>10</v>
      </c>
    </row>
    <row r="278" spans="1:4" x14ac:dyDescent="0.25">
      <c r="A278" s="10">
        <v>45887</v>
      </c>
      <c r="B278" s="4" t="s">
        <v>111</v>
      </c>
      <c r="C278" s="5">
        <v>16</v>
      </c>
      <c r="D278" s="4" t="s">
        <v>17</v>
      </c>
    </row>
    <row r="279" spans="1:4" x14ac:dyDescent="0.25">
      <c r="A279" s="10">
        <v>45887</v>
      </c>
      <c r="B279" s="4" t="s">
        <v>112</v>
      </c>
      <c r="C279" s="5">
        <v>0.33</v>
      </c>
      <c r="D279" s="4" t="s">
        <v>17</v>
      </c>
    </row>
    <row r="280" spans="1:4" x14ac:dyDescent="0.25">
      <c r="A280" s="10">
        <v>45887</v>
      </c>
      <c r="B280" s="4" t="s">
        <v>99</v>
      </c>
      <c r="C280" s="5">
        <v>50</v>
      </c>
      <c r="D280" s="4" t="s">
        <v>17</v>
      </c>
    </row>
    <row r="281" spans="1:4" x14ac:dyDescent="0.25">
      <c r="A281" s="10">
        <v>45888</v>
      </c>
      <c r="B281" s="4" t="s">
        <v>113</v>
      </c>
      <c r="C281" s="5">
        <v>179</v>
      </c>
      <c r="D281" s="4" t="s">
        <v>17</v>
      </c>
    </row>
    <row r="282" spans="1:4" x14ac:dyDescent="0.25">
      <c r="A282" s="10">
        <v>45888</v>
      </c>
      <c r="B282" s="4" t="s">
        <v>97</v>
      </c>
      <c r="C282" s="5">
        <v>3.1</v>
      </c>
      <c r="D282" s="4" t="s">
        <v>11</v>
      </c>
    </row>
    <row r="283" spans="1:4" x14ac:dyDescent="0.25">
      <c r="A283" s="10">
        <v>45889</v>
      </c>
      <c r="B283" s="4" t="s">
        <v>97</v>
      </c>
      <c r="C283" s="5">
        <v>4.46</v>
      </c>
      <c r="D283" s="4" t="s">
        <v>11</v>
      </c>
    </row>
    <row r="284" spans="1:4" x14ac:dyDescent="0.25">
      <c r="A284" s="10">
        <v>45890</v>
      </c>
      <c r="B284" s="4" t="s">
        <v>110</v>
      </c>
      <c r="C284" s="5">
        <v>22.26</v>
      </c>
      <c r="D284" s="4" t="s">
        <v>10</v>
      </c>
    </row>
    <row r="285" spans="1:4" x14ac:dyDescent="0.25">
      <c r="A285" s="10">
        <v>45890</v>
      </c>
      <c r="B285" s="4" t="s">
        <v>103</v>
      </c>
      <c r="C285" s="5">
        <v>4.9000000000000004</v>
      </c>
      <c r="D285" s="4" t="s">
        <v>12</v>
      </c>
    </row>
    <row r="286" spans="1:4" x14ac:dyDescent="0.25">
      <c r="A286" s="10">
        <v>45890</v>
      </c>
      <c r="B286" s="4" t="s">
        <v>97</v>
      </c>
      <c r="C286" s="5">
        <v>3.1</v>
      </c>
      <c r="D286" s="4" t="s">
        <v>11</v>
      </c>
    </row>
    <row r="287" spans="1:4" x14ac:dyDescent="0.25">
      <c r="A287" s="10">
        <v>45892</v>
      </c>
      <c r="B287" s="4" t="s">
        <v>111</v>
      </c>
      <c r="C287" s="5">
        <v>2.4900000000000002</v>
      </c>
      <c r="D287" s="4" t="s">
        <v>17</v>
      </c>
    </row>
    <row r="288" spans="1:4" x14ac:dyDescent="0.25">
      <c r="A288" s="10">
        <v>45894</v>
      </c>
      <c r="B288" s="4" t="s">
        <v>112</v>
      </c>
      <c r="C288" s="5">
        <v>0.33</v>
      </c>
      <c r="D288" s="4" t="s">
        <v>17</v>
      </c>
    </row>
    <row r="289" spans="1:4" x14ac:dyDescent="0.25">
      <c r="A289" s="10">
        <v>45895</v>
      </c>
      <c r="B289" s="4" t="s">
        <v>103</v>
      </c>
      <c r="C289" s="5">
        <v>4.9000000000000004</v>
      </c>
      <c r="D289" s="4" t="s">
        <v>12</v>
      </c>
    </row>
    <row r="290" spans="1:4" x14ac:dyDescent="0.25">
      <c r="A290" s="10">
        <v>45896</v>
      </c>
      <c r="B290" s="4" t="s">
        <v>99</v>
      </c>
      <c r="C290" s="5">
        <v>50</v>
      </c>
      <c r="D290" s="4" t="s">
        <v>17</v>
      </c>
    </row>
    <row r="291" spans="1:4" x14ac:dyDescent="0.25">
      <c r="A291" s="10">
        <v>45901</v>
      </c>
      <c r="B291" s="4" t="s">
        <v>98</v>
      </c>
      <c r="C291" s="5">
        <v>4.9000000000000004</v>
      </c>
      <c r="D291" s="4" t="s">
        <v>12</v>
      </c>
    </row>
    <row r="292" spans="1:4" x14ac:dyDescent="0.25">
      <c r="A292" s="10">
        <v>45902</v>
      </c>
      <c r="B292" s="4" t="s">
        <v>100</v>
      </c>
      <c r="C292" s="5">
        <v>9.36</v>
      </c>
      <c r="D292" s="4" t="s">
        <v>11</v>
      </c>
    </row>
    <row r="293" spans="1:4" x14ac:dyDescent="0.25">
      <c r="A293" s="10">
        <v>45902</v>
      </c>
      <c r="B293" s="4" t="s">
        <v>125</v>
      </c>
      <c r="C293" s="5">
        <v>4.42</v>
      </c>
      <c r="D293" s="4" t="s">
        <v>11</v>
      </c>
    </row>
    <row r="294" spans="1:4" x14ac:dyDescent="0.25">
      <c r="A294" s="10">
        <v>45904</v>
      </c>
      <c r="B294" s="4" t="s">
        <v>97</v>
      </c>
      <c r="C294" s="5">
        <v>10.07</v>
      </c>
      <c r="D294" s="4" t="s">
        <v>11</v>
      </c>
    </row>
    <row r="295" spans="1:4" x14ac:dyDescent="0.25">
      <c r="A295" s="10">
        <v>45911</v>
      </c>
      <c r="B295" s="4" t="s">
        <v>167</v>
      </c>
      <c r="C295" s="5">
        <v>6.58</v>
      </c>
      <c r="D295" s="4" t="s">
        <v>12</v>
      </c>
    </row>
    <row r="296" spans="1:4" x14ac:dyDescent="0.25">
      <c r="A296" s="10">
        <v>45912</v>
      </c>
      <c r="B296" s="4" t="s">
        <v>119</v>
      </c>
      <c r="C296" s="5">
        <v>3.87</v>
      </c>
      <c r="D296" s="4" t="s">
        <v>11</v>
      </c>
    </row>
    <row r="297" spans="1:4" x14ac:dyDescent="0.25">
      <c r="A297" s="10">
        <v>45912</v>
      </c>
      <c r="B297" s="4" t="s">
        <v>104</v>
      </c>
      <c r="C297" s="5">
        <v>20.85</v>
      </c>
      <c r="D297" s="4" t="s">
        <v>10</v>
      </c>
    </row>
    <row r="298" spans="1:4" x14ac:dyDescent="0.25">
      <c r="A298" s="10">
        <v>45914</v>
      </c>
      <c r="B298" s="4" t="s">
        <v>103</v>
      </c>
      <c r="C298" s="5">
        <v>6.89</v>
      </c>
      <c r="D298" s="4" t="s">
        <v>12</v>
      </c>
    </row>
    <row r="299" spans="1:4" x14ac:dyDescent="0.25">
      <c r="A299" s="10">
        <v>45914</v>
      </c>
      <c r="B299" s="4" t="s">
        <v>105</v>
      </c>
      <c r="C299" s="5">
        <v>45.22</v>
      </c>
      <c r="D299" s="4" t="s">
        <v>15</v>
      </c>
    </row>
    <row r="300" spans="1:4" x14ac:dyDescent="0.25">
      <c r="A300" s="10">
        <v>45914</v>
      </c>
      <c r="B300" s="4" t="s">
        <v>123</v>
      </c>
      <c r="C300" s="5">
        <v>3.1</v>
      </c>
      <c r="D300" s="4" t="s">
        <v>11</v>
      </c>
    </row>
    <row r="301" spans="1:4" x14ac:dyDescent="0.25">
      <c r="A301" s="10">
        <v>45914</v>
      </c>
      <c r="B301" s="4" t="s">
        <v>100</v>
      </c>
      <c r="C301" s="5">
        <v>9.94</v>
      </c>
      <c r="D301" s="4" t="s">
        <v>11</v>
      </c>
    </row>
    <row r="302" spans="1:4" x14ac:dyDescent="0.25">
      <c r="A302" s="10">
        <v>45915</v>
      </c>
      <c r="B302" s="4" t="s">
        <v>109</v>
      </c>
      <c r="C302" s="5">
        <v>50</v>
      </c>
      <c r="D302" s="4" t="s">
        <v>17</v>
      </c>
    </row>
    <row r="303" spans="1:4" x14ac:dyDescent="0.25">
      <c r="A303" s="10">
        <v>45916</v>
      </c>
      <c r="B303" s="4" t="s">
        <v>128</v>
      </c>
      <c r="C303" s="5">
        <v>5</v>
      </c>
      <c r="D303" s="4" t="s">
        <v>17</v>
      </c>
    </row>
    <row r="304" spans="1:4" x14ac:dyDescent="0.25">
      <c r="A304" s="10">
        <v>45916</v>
      </c>
      <c r="B304" s="4" t="s">
        <v>149</v>
      </c>
      <c r="C304" s="5">
        <v>50</v>
      </c>
      <c r="D304" s="4" t="s">
        <v>17</v>
      </c>
    </row>
    <row r="305" spans="1:4" x14ac:dyDescent="0.25">
      <c r="A305" s="10">
        <v>45916</v>
      </c>
      <c r="B305" s="4" t="s">
        <v>99</v>
      </c>
      <c r="C305" s="5">
        <v>52.4</v>
      </c>
      <c r="D305" s="4" t="s">
        <v>17</v>
      </c>
    </row>
    <row r="306" spans="1:4" x14ac:dyDescent="0.25">
      <c r="A306" s="10">
        <v>45917</v>
      </c>
      <c r="B306" s="4" t="s">
        <v>132</v>
      </c>
      <c r="C306" s="5">
        <v>50.89</v>
      </c>
      <c r="D306" s="4" t="s">
        <v>10</v>
      </c>
    </row>
    <row r="307" spans="1:4" x14ac:dyDescent="0.25">
      <c r="A307" s="10">
        <v>45917</v>
      </c>
      <c r="B307" s="4" t="s">
        <v>100</v>
      </c>
      <c r="C307" s="5">
        <v>14.13</v>
      </c>
      <c r="D307" s="4" t="s">
        <v>11</v>
      </c>
    </row>
    <row r="308" spans="1:4" x14ac:dyDescent="0.25">
      <c r="A308" s="10">
        <v>45917</v>
      </c>
      <c r="B308" s="4" t="s">
        <v>97</v>
      </c>
      <c r="C308" s="5">
        <v>2.98</v>
      </c>
      <c r="D308" s="4" t="s">
        <v>11</v>
      </c>
    </row>
    <row r="309" spans="1:4" x14ac:dyDescent="0.25">
      <c r="A309" s="10">
        <v>45918</v>
      </c>
      <c r="B309" s="4" t="s">
        <v>103</v>
      </c>
      <c r="C309" s="5">
        <v>4.9000000000000004</v>
      </c>
      <c r="D309" s="4" t="s">
        <v>12</v>
      </c>
    </row>
    <row r="310" spans="1:4" x14ac:dyDescent="0.25">
      <c r="A310" s="10">
        <v>45919</v>
      </c>
      <c r="B310" s="4" t="s">
        <v>168</v>
      </c>
      <c r="C310" s="5">
        <v>20.02</v>
      </c>
      <c r="D310" s="4" t="s">
        <v>12</v>
      </c>
    </row>
    <row r="311" spans="1:4" x14ac:dyDescent="0.25">
      <c r="A311" s="10">
        <v>45922</v>
      </c>
      <c r="B311" s="4" t="s">
        <v>111</v>
      </c>
      <c r="C311" s="5">
        <v>16</v>
      </c>
      <c r="D311" s="4" t="s">
        <v>17</v>
      </c>
    </row>
    <row r="312" spans="1:4" x14ac:dyDescent="0.25">
      <c r="A312" s="10">
        <v>45922</v>
      </c>
      <c r="B312" s="4" t="s">
        <v>112</v>
      </c>
      <c r="C312" s="5">
        <v>0.33</v>
      </c>
      <c r="D312" s="4" t="s">
        <v>17</v>
      </c>
    </row>
    <row r="313" spans="1:4" x14ac:dyDescent="0.25">
      <c r="A313" s="10">
        <v>45922</v>
      </c>
      <c r="B313" s="4" t="s">
        <v>103</v>
      </c>
      <c r="C313" s="5">
        <v>4.9000000000000004</v>
      </c>
      <c r="D313" s="4" t="s">
        <v>12</v>
      </c>
    </row>
    <row r="314" spans="1:4" x14ac:dyDescent="0.25">
      <c r="A314" s="10">
        <v>45923</v>
      </c>
      <c r="B314" s="4" t="s">
        <v>114</v>
      </c>
      <c r="C314" s="5">
        <v>1</v>
      </c>
      <c r="D314" s="4" t="s">
        <v>11</v>
      </c>
    </row>
    <row r="315" spans="1:4" x14ac:dyDescent="0.25">
      <c r="A315" s="10">
        <v>45923</v>
      </c>
      <c r="B315" s="4" t="s">
        <v>97</v>
      </c>
      <c r="C315" s="5">
        <v>6.46</v>
      </c>
      <c r="D315" s="4" t="s">
        <v>11</v>
      </c>
    </row>
    <row r="316" spans="1:4" x14ac:dyDescent="0.25">
      <c r="A316" s="10">
        <v>45924</v>
      </c>
      <c r="B316" s="4" t="s">
        <v>114</v>
      </c>
      <c r="C316" s="5">
        <v>1</v>
      </c>
      <c r="D316" s="4" t="s">
        <v>11</v>
      </c>
    </row>
    <row r="317" spans="1:4" x14ac:dyDescent="0.25">
      <c r="A317" s="10">
        <v>45925</v>
      </c>
      <c r="B317" s="4" t="s">
        <v>113</v>
      </c>
      <c r="C317" s="5">
        <v>195</v>
      </c>
      <c r="D317" s="4" t="s">
        <v>17</v>
      </c>
    </row>
    <row r="318" spans="1:4" x14ac:dyDescent="0.25">
      <c r="A318" s="10">
        <v>45925</v>
      </c>
      <c r="B318" s="4" t="s">
        <v>98</v>
      </c>
      <c r="C318" s="5">
        <v>70.64</v>
      </c>
      <c r="D318" s="4" t="s">
        <v>12</v>
      </c>
    </row>
    <row r="319" spans="1:4" x14ac:dyDescent="0.25">
      <c r="A319" s="10">
        <v>45926</v>
      </c>
      <c r="B319" s="4" t="s">
        <v>169</v>
      </c>
      <c r="C319" s="5">
        <v>6.46</v>
      </c>
      <c r="D319" s="4" t="s">
        <v>11</v>
      </c>
    </row>
    <row r="320" spans="1:4" x14ac:dyDescent="0.25">
      <c r="A320" s="10">
        <v>45926</v>
      </c>
      <c r="B320" s="4" t="s">
        <v>128</v>
      </c>
      <c r="C320" s="5">
        <v>18</v>
      </c>
      <c r="D320" s="4" t="s">
        <v>17</v>
      </c>
    </row>
    <row r="321" spans="1:4" x14ac:dyDescent="0.25">
      <c r="A321" s="10">
        <v>45927</v>
      </c>
      <c r="B321" s="4" t="s">
        <v>101</v>
      </c>
      <c r="C321" s="5">
        <v>14.6</v>
      </c>
      <c r="D321" s="4" t="s">
        <v>13</v>
      </c>
    </row>
    <row r="322" spans="1:4" x14ac:dyDescent="0.25">
      <c r="A322" s="10">
        <v>45928</v>
      </c>
      <c r="B322" s="4" t="s">
        <v>170</v>
      </c>
      <c r="C322" s="5">
        <v>30</v>
      </c>
      <c r="D322" s="4" t="s">
        <v>17</v>
      </c>
    </row>
    <row r="323" spans="1:4" x14ac:dyDescent="0.25">
      <c r="A323" s="10">
        <v>45928</v>
      </c>
      <c r="B323" s="4" t="s">
        <v>103</v>
      </c>
      <c r="C323" s="5">
        <v>9.8000000000000007</v>
      </c>
      <c r="D323" s="4" t="s">
        <v>12</v>
      </c>
    </row>
    <row r="324" spans="1:4" x14ac:dyDescent="0.25">
      <c r="A324" s="10">
        <v>45928</v>
      </c>
      <c r="B324" s="4" t="s">
        <v>97</v>
      </c>
      <c r="C324" s="5">
        <v>7.67</v>
      </c>
      <c r="D324" s="4" t="s">
        <v>11</v>
      </c>
    </row>
    <row r="325" spans="1:4" x14ac:dyDescent="0.25">
      <c r="A325" s="10">
        <v>45928</v>
      </c>
      <c r="B325" s="4" t="s">
        <v>171</v>
      </c>
      <c r="C325" s="5">
        <v>2.38</v>
      </c>
      <c r="D325" s="4" t="s">
        <v>11</v>
      </c>
    </row>
    <row r="326" spans="1:4" x14ac:dyDescent="0.25">
      <c r="A326" s="10">
        <v>45931</v>
      </c>
      <c r="B326" s="4" t="s">
        <v>172</v>
      </c>
      <c r="C326" s="5">
        <v>5.68</v>
      </c>
      <c r="D326" s="4" t="s">
        <v>11</v>
      </c>
    </row>
    <row r="327" spans="1:4" x14ac:dyDescent="0.25">
      <c r="A327" s="10">
        <v>45932</v>
      </c>
      <c r="B327" s="4" t="s">
        <v>99</v>
      </c>
      <c r="C327" s="5">
        <v>50</v>
      </c>
      <c r="D327" s="4" t="s">
        <v>17</v>
      </c>
    </row>
    <row r="328" spans="1:4" x14ac:dyDescent="0.25">
      <c r="A328" s="10">
        <v>45933</v>
      </c>
      <c r="B328" s="4" t="s">
        <v>173</v>
      </c>
      <c r="C328" s="5">
        <v>21.8</v>
      </c>
      <c r="D328" s="4" t="s">
        <v>13</v>
      </c>
    </row>
    <row r="329" spans="1:4" x14ac:dyDescent="0.25">
      <c r="A329" s="10">
        <v>45935</v>
      </c>
      <c r="B329" s="4" t="s">
        <v>111</v>
      </c>
      <c r="C329" s="5">
        <v>16</v>
      </c>
      <c r="D329" s="4" t="s">
        <v>17</v>
      </c>
    </row>
    <row r="330" spans="1:4" x14ac:dyDescent="0.25">
      <c r="A330" s="10">
        <v>45935</v>
      </c>
      <c r="B330" s="4" t="s">
        <v>112</v>
      </c>
      <c r="C330" s="5">
        <v>0.33</v>
      </c>
      <c r="D330" s="4" t="s">
        <v>17</v>
      </c>
    </row>
    <row r="331" spans="1:4" x14ac:dyDescent="0.25">
      <c r="A331" s="10">
        <v>45937</v>
      </c>
      <c r="B331" s="4" t="s">
        <v>114</v>
      </c>
      <c r="C331" s="5">
        <v>1</v>
      </c>
      <c r="D331" s="4" t="s">
        <v>11</v>
      </c>
    </row>
    <row r="332" spans="1:4" x14ac:dyDescent="0.25">
      <c r="A332" s="10">
        <v>45937</v>
      </c>
      <c r="B332" s="4" t="s">
        <v>100</v>
      </c>
      <c r="C332" s="5">
        <v>7.96</v>
      </c>
      <c r="D332" s="4" t="s">
        <v>11</v>
      </c>
    </row>
    <row r="333" spans="1:4" x14ac:dyDescent="0.25">
      <c r="A333" s="10">
        <v>45937</v>
      </c>
      <c r="B333" s="4" t="s">
        <v>97</v>
      </c>
      <c r="C333" s="5">
        <v>5.57</v>
      </c>
      <c r="D333" s="4" t="s">
        <v>11</v>
      </c>
    </row>
    <row r="334" spans="1:4" x14ac:dyDescent="0.25">
      <c r="A334" s="10">
        <v>45938</v>
      </c>
      <c r="B334" s="4" t="s">
        <v>114</v>
      </c>
      <c r="C334" s="5">
        <v>1</v>
      </c>
      <c r="D334" s="4" t="s">
        <v>11</v>
      </c>
    </row>
    <row r="335" spans="1:4" x14ac:dyDescent="0.25">
      <c r="A335" s="10">
        <v>45939</v>
      </c>
      <c r="B335" s="4" t="s">
        <v>122</v>
      </c>
      <c r="C335" s="5">
        <v>10</v>
      </c>
      <c r="D335" s="4" t="s">
        <v>17</v>
      </c>
    </row>
    <row r="336" spans="1:4" x14ac:dyDescent="0.25">
      <c r="A336" s="10">
        <v>45939</v>
      </c>
      <c r="B336" s="4" t="s">
        <v>103</v>
      </c>
      <c r="C336" s="5">
        <v>14.7</v>
      </c>
      <c r="D336" s="4" t="s">
        <v>12</v>
      </c>
    </row>
    <row r="337" spans="1:4" x14ac:dyDescent="0.25">
      <c r="A337" s="10">
        <v>45939</v>
      </c>
      <c r="B337" s="4" t="s">
        <v>97</v>
      </c>
      <c r="C337" s="5">
        <v>6.68</v>
      </c>
      <c r="D337" s="4" t="s">
        <v>11</v>
      </c>
    </row>
    <row r="338" spans="1:4" x14ac:dyDescent="0.25">
      <c r="A338" s="10">
        <v>45939</v>
      </c>
      <c r="B338" s="4" t="s">
        <v>135</v>
      </c>
      <c r="C338" s="5">
        <v>21.6</v>
      </c>
      <c r="D338" s="4" t="s">
        <v>13</v>
      </c>
    </row>
    <row r="339" spans="1:4" x14ac:dyDescent="0.25">
      <c r="A339" s="10">
        <v>45942</v>
      </c>
      <c r="B339" s="4" t="s">
        <v>130</v>
      </c>
      <c r="C339" s="5">
        <v>1</v>
      </c>
      <c r="D339" s="4" t="s">
        <v>11</v>
      </c>
    </row>
    <row r="340" spans="1:4" x14ac:dyDescent="0.25">
      <c r="A340" s="10">
        <v>45942</v>
      </c>
      <c r="B340" s="4" t="s">
        <v>104</v>
      </c>
      <c r="C340" s="5">
        <v>21.12</v>
      </c>
      <c r="D340" s="4" t="s">
        <v>10</v>
      </c>
    </row>
    <row r="341" spans="1:4" x14ac:dyDescent="0.25">
      <c r="A341" s="10">
        <v>45944</v>
      </c>
      <c r="B341" s="4" t="s">
        <v>99</v>
      </c>
      <c r="C341" s="5">
        <v>40</v>
      </c>
      <c r="D341" s="4" t="s">
        <v>17</v>
      </c>
    </row>
    <row r="342" spans="1:4" x14ac:dyDescent="0.25">
      <c r="A342" s="10">
        <v>45944</v>
      </c>
      <c r="B342" s="4" t="s">
        <v>97</v>
      </c>
      <c r="C342" s="5">
        <v>6.1</v>
      </c>
      <c r="D342" s="4" t="s">
        <v>11</v>
      </c>
    </row>
    <row r="343" spans="1:4" x14ac:dyDescent="0.25">
      <c r="A343" s="10">
        <v>45945</v>
      </c>
      <c r="B343" s="4" t="s">
        <v>111</v>
      </c>
      <c r="C343" s="5">
        <v>204.4</v>
      </c>
      <c r="D343" s="4" t="s">
        <v>17</v>
      </c>
    </row>
    <row r="344" spans="1:4" x14ac:dyDescent="0.25">
      <c r="A344" s="10">
        <v>45945</v>
      </c>
      <c r="B344" s="4" t="s">
        <v>112</v>
      </c>
      <c r="C344" s="5">
        <v>0.33</v>
      </c>
      <c r="D344" s="4" t="s">
        <v>17</v>
      </c>
    </row>
    <row r="345" spans="1:4" x14ac:dyDescent="0.25">
      <c r="A345" s="10">
        <v>45945</v>
      </c>
      <c r="B345" s="4" t="s">
        <v>109</v>
      </c>
      <c r="C345" s="5">
        <v>50</v>
      </c>
      <c r="D345" s="4" t="s">
        <v>17</v>
      </c>
    </row>
    <row r="346" spans="1:4" x14ac:dyDescent="0.25">
      <c r="A346" s="10">
        <v>45945</v>
      </c>
      <c r="B346" s="4" t="s">
        <v>171</v>
      </c>
      <c r="C346" s="5">
        <v>4.47</v>
      </c>
      <c r="D346" s="4" t="s">
        <v>11</v>
      </c>
    </row>
    <row r="347" spans="1:4" x14ac:dyDescent="0.25">
      <c r="A347" s="10">
        <v>45945</v>
      </c>
      <c r="B347" s="4" t="s">
        <v>100</v>
      </c>
      <c r="C347" s="5">
        <v>7.58</v>
      </c>
      <c r="D347" s="4" t="s">
        <v>11</v>
      </c>
    </row>
    <row r="348" spans="1:4" x14ac:dyDescent="0.25">
      <c r="A348" s="10">
        <v>45946</v>
      </c>
      <c r="B348" s="4" t="s">
        <v>98</v>
      </c>
      <c r="C348" s="5">
        <v>49.73</v>
      </c>
      <c r="D348" s="4" t="s">
        <v>12</v>
      </c>
    </row>
    <row r="349" spans="1:4" x14ac:dyDescent="0.25">
      <c r="A349" s="10">
        <v>45949</v>
      </c>
      <c r="B349" s="4" t="s">
        <v>132</v>
      </c>
      <c r="C349" s="5">
        <v>52.4</v>
      </c>
      <c r="D349" s="4" t="s">
        <v>10</v>
      </c>
    </row>
    <row r="350" spans="1:4" x14ac:dyDescent="0.25">
      <c r="A350" s="10">
        <v>45949</v>
      </c>
      <c r="B350" s="4" t="s">
        <v>103</v>
      </c>
      <c r="C350" s="5">
        <v>4.9000000000000004</v>
      </c>
      <c r="D350" s="4" t="s">
        <v>12</v>
      </c>
    </row>
    <row r="351" spans="1:4" x14ac:dyDescent="0.25">
      <c r="A351" s="10">
        <v>45949</v>
      </c>
      <c r="B351" s="4" t="s">
        <v>97</v>
      </c>
      <c r="C351" s="5">
        <v>6.56</v>
      </c>
      <c r="D351" s="4" t="s">
        <v>11</v>
      </c>
    </row>
    <row r="352" spans="1:4" x14ac:dyDescent="0.25">
      <c r="A352" s="10">
        <v>45951</v>
      </c>
      <c r="B352" s="4" t="s">
        <v>97</v>
      </c>
      <c r="C352" s="5">
        <v>11.92</v>
      </c>
      <c r="D352" s="4" t="s">
        <v>11</v>
      </c>
    </row>
    <row r="353" spans="1:4" x14ac:dyDescent="0.25">
      <c r="A353" s="10">
        <v>45952</v>
      </c>
      <c r="B353" s="4" t="s">
        <v>172</v>
      </c>
      <c r="C353" s="5">
        <v>7.84</v>
      </c>
      <c r="D353" s="4" t="s">
        <v>11</v>
      </c>
    </row>
    <row r="354" spans="1:4" x14ac:dyDescent="0.25">
      <c r="A354" s="10">
        <v>45952</v>
      </c>
      <c r="B354" s="4" t="s">
        <v>174</v>
      </c>
      <c r="C354" s="5">
        <v>60</v>
      </c>
      <c r="D354" s="4" t="s">
        <v>17</v>
      </c>
    </row>
    <row r="355" spans="1:4" x14ac:dyDescent="0.25">
      <c r="A355" s="10">
        <v>45953</v>
      </c>
      <c r="B355" s="4" t="s">
        <v>103</v>
      </c>
      <c r="C355" s="5">
        <v>6.89</v>
      </c>
      <c r="D355" s="4" t="s">
        <v>12</v>
      </c>
    </row>
    <row r="356" spans="1:4" x14ac:dyDescent="0.25">
      <c r="A356" s="10">
        <v>45953</v>
      </c>
      <c r="B356" s="4" t="s">
        <v>97</v>
      </c>
      <c r="C356" s="5">
        <v>6.18</v>
      </c>
      <c r="D356" s="4" t="s">
        <v>11</v>
      </c>
    </row>
    <row r="357" spans="1:4" x14ac:dyDescent="0.25">
      <c r="A357" s="10">
        <v>45954</v>
      </c>
      <c r="B357" s="4" t="s">
        <v>175</v>
      </c>
      <c r="C357" s="5">
        <v>8.19</v>
      </c>
      <c r="D357" s="4" t="s">
        <v>11</v>
      </c>
    </row>
    <row r="358" spans="1:4" x14ac:dyDescent="0.25">
      <c r="A358" s="10">
        <v>45956</v>
      </c>
      <c r="B358" s="4" t="s">
        <v>122</v>
      </c>
      <c r="C358" s="5">
        <v>20</v>
      </c>
      <c r="D358" s="4" t="s">
        <v>17</v>
      </c>
    </row>
    <row r="359" spans="1:4" x14ac:dyDescent="0.25">
      <c r="A359" s="10">
        <v>45956</v>
      </c>
      <c r="B359" s="4" t="s">
        <v>174</v>
      </c>
      <c r="C359" s="5">
        <v>50</v>
      </c>
      <c r="D359" s="4" t="s">
        <v>17</v>
      </c>
    </row>
    <row r="360" spans="1:4" x14ac:dyDescent="0.25">
      <c r="A360" s="10">
        <v>45956</v>
      </c>
      <c r="B360" s="4" t="s">
        <v>172</v>
      </c>
      <c r="C360" s="5">
        <v>2.2200000000000002</v>
      </c>
      <c r="D360" s="4" t="s">
        <v>11</v>
      </c>
    </row>
    <row r="361" spans="1:4" x14ac:dyDescent="0.25">
      <c r="A361" s="10">
        <v>45957</v>
      </c>
      <c r="B361" s="4" t="s">
        <v>111</v>
      </c>
      <c r="C361" s="5">
        <v>16</v>
      </c>
      <c r="D361" s="4" t="s">
        <v>17</v>
      </c>
    </row>
    <row r="362" spans="1:4" x14ac:dyDescent="0.25">
      <c r="A362" s="10">
        <v>45957</v>
      </c>
      <c r="B362" s="4" t="s">
        <v>112</v>
      </c>
      <c r="C362" s="5">
        <v>0.33</v>
      </c>
      <c r="D362" s="4" t="s">
        <v>17</v>
      </c>
    </row>
    <row r="363" spans="1:4" x14ac:dyDescent="0.25">
      <c r="A363" s="10">
        <v>45958</v>
      </c>
      <c r="B363" s="4" t="s">
        <v>119</v>
      </c>
      <c r="C363" s="5">
        <v>11.58</v>
      </c>
      <c r="D363" s="4" t="s">
        <v>11</v>
      </c>
    </row>
    <row r="364" spans="1:4" x14ac:dyDescent="0.25">
      <c r="A364" s="10">
        <v>45978</v>
      </c>
      <c r="B364" s="4" t="s">
        <v>98</v>
      </c>
      <c r="C364" s="5">
        <v>64.66</v>
      </c>
      <c r="D364" s="4" t="s">
        <v>12</v>
      </c>
    </row>
    <row r="365" spans="1:4" x14ac:dyDescent="0.25">
      <c r="A365" s="10"/>
      <c r="B365" s="4"/>
      <c r="C365" s="5"/>
      <c r="D365" s="4"/>
    </row>
    <row r="366" spans="1:4" x14ac:dyDescent="0.25">
      <c r="A366" s="10"/>
      <c r="B366" s="4"/>
      <c r="C366" s="5"/>
      <c r="D366" s="4"/>
    </row>
    <row r="367" spans="1:4" x14ac:dyDescent="0.25">
      <c r="A367" s="10"/>
      <c r="B367" s="4"/>
      <c r="C367" s="5"/>
      <c r="D367" s="4"/>
    </row>
    <row r="368" spans="1:4" x14ac:dyDescent="0.25">
      <c r="A368" s="10"/>
      <c r="B368" s="4"/>
      <c r="C368" s="5"/>
      <c r="D368" s="4"/>
    </row>
    <row r="369" spans="1:4" x14ac:dyDescent="0.25">
      <c r="A369" s="10"/>
      <c r="B369" s="4"/>
      <c r="C369" s="5"/>
      <c r="D369" s="4"/>
    </row>
    <row r="370" spans="1:4" x14ac:dyDescent="0.25">
      <c r="A370" s="10"/>
      <c r="B370" s="4"/>
      <c r="C370" s="5"/>
      <c r="D370" s="4"/>
    </row>
    <row r="371" spans="1:4" x14ac:dyDescent="0.25">
      <c r="A371" s="10"/>
      <c r="B371" s="4"/>
      <c r="C371" s="5"/>
      <c r="D371" s="4"/>
    </row>
    <row r="372" spans="1:4" x14ac:dyDescent="0.25">
      <c r="A372" s="10"/>
      <c r="B372" s="4"/>
      <c r="C372" s="5"/>
      <c r="D372" s="4"/>
    </row>
    <row r="373" spans="1:4" x14ac:dyDescent="0.25">
      <c r="A373" s="10"/>
      <c r="B373" s="4"/>
      <c r="C373" s="5"/>
      <c r="D373" s="4"/>
    </row>
    <row r="374" spans="1:4" x14ac:dyDescent="0.25">
      <c r="A374" s="10"/>
      <c r="B374" s="4"/>
      <c r="C374" s="5"/>
      <c r="D374" s="4"/>
    </row>
    <row r="375" spans="1:4" x14ac:dyDescent="0.25">
      <c r="A375" s="10"/>
      <c r="B375" s="4"/>
      <c r="C375" s="5"/>
      <c r="D375" s="4"/>
    </row>
    <row r="376" spans="1:4" x14ac:dyDescent="0.25">
      <c r="A376" s="10"/>
      <c r="B376" s="4"/>
      <c r="C376" s="5"/>
      <c r="D376" s="4"/>
    </row>
    <row r="377" spans="1:4" x14ac:dyDescent="0.25">
      <c r="A377" s="10"/>
      <c r="B377" s="4"/>
      <c r="C377" s="5"/>
      <c r="D377" s="4"/>
    </row>
    <row r="378" spans="1:4" x14ac:dyDescent="0.25">
      <c r="A378" s="10"/>
      <c r="B378" s="4"/>
      <c r="C378" s="5"/>
      <c r="D378" s="4"/>
    </row>
    <row r="379" spans="1:4" x14ac:dyDescent="0.25">
      <c r="A379" s="10"/>
      <c r="B379" s="4"/>
      <c r="C379" s="5"/>
      <c r="D379" s="4"/>
    </row>
    <row r="380" spans="1:4" x14ac:dyDescent="0.25">
      <c r="A380" s="10"/>
      <c r="B380" s="4"/>
      <c r="C380" s="5"/>
      <c r="D380" s="4"/>
    </row>
    <row r="381" spans="1:4" x14ac:dyDescent="0.25">
      <c r="A381" s="10"/>
      <c r="B381" s="4"/>
      <c r="C381" s="5"/>
      <c r="D381" s="4"/>
    </row>
    <row r="382" spans="1:4" x14ac:dyDescent="0.25">
      <c r="A382" s="10"/>
      <c r="B382" s="4"/>
      <c r="C382" s="5"/>
      <c r="D382" s="4"/>
    </row>
    <row r="383" spans="1:4" x14ac:dyDescent="0.25">
      <c r="A383" s="10"/>
      <c r="B383" s="4"/>
      <c r="C383" s="5"/>
      <c r="D383" s="4"/>
    </row>
    <row r="384" spans="1:4" x14ac:dyDescent="0.25">
      <c r="A384" s="10"/>
      <c r="B384" s="4"/>
      <c r="C384" s="5"/>
      <c r="D384" s="4"/>
    </row>
    <row r="385" spans="1:4" x14ac:dyDescent="0.25">
      <c r="A385" s="10"/>
      <c r="B385" s="4"/>
      <c r="C385" s="5"/>
      <c r="D385" s="4"/>
    </row>
    <row r="386" spans="1:4" x14ac:dyDescent="0.25">
      <c r="A386" s="10"/>
      <c r="B386" s="4"/>
      <c r="C386" s="5"/>
      <c r="D386" s="4"/>
    </row>
    <row r="387" spans="1:4" x14ac:dyDescent="0.25">
      <c r="A387" s="10"/>
      <c r="B387" s="4"/>
      <c r="C387" s="5"/>
      <c r="D387" s="4"/>
    </row>
    <row r="388" spans="1:4" x14ac:dyDescent="0.25">
      <c r="A388" s="10"/>
      <c r="B388" s="4"/>
      <c r="C388" s="5"/>
      <c r="D388" s="4"/>
    </row>
    <row r="389" spans="1:4" x14ac:dyDescent="0.25">
      <c r="A389" s="10"/>
      <c r="B389" s="4"/>
      <c r="C389" s="5"/>
      <c r="D389" s="4"/>
    </row>
    <row r="390" spans="1:4" x14ac:dyDescent="0.25">
      <c r="A390" s="10"/>
      <c r="B390" s="4"/>
      <c r="C390" s="5"/>
      <c r="D390" s="4"/>
    </row>
    <row r="391" spans="1:4" x14ac:dyDescent="0.25">
      <c r="A391" s="10"/>
      <c r="B391" s="4"/>
      <c r="C391" s="5"/>
      <c r="D391" s="4"/>
    </row>
    <row r="392" spans="1:4" x14ac:dyDescent="0.25">
      <c r="A392" s="10"/>
      <c r="B392" s="4"/>
      <c r="C392" s="5"/>
      <c r="D392" s="4"/>
    </row>
    <row r="393" spans="1:4" x14ac:dyDescent="0.25">
      <c r="A393" s="10"/>
      <c r="B393" s="4"/>
      <c r="C393" s="5"/>
      <c r="D393" s="4"/>
    </row>
    <row r="394" spans="1:4" x14ac:dyDescent="0.25">
      <c r="A394" s="10"/>
      <c r="B394" s="4"/>
      <c r="C394" s="5"/>
      <c r="D394" s="4"/>
    </row>
    <row r="395" spans="1:4" x14ac:dyDescent="0.25">
      <c r="A395" s="10"/>
      <c r="B395" s="4"/>
      <c r="C395" s="5"/>
      <c r="D395" s="4"/>
    </row>
    <row r="396" spans="1:4" x14ac:dyDescent="0.25">
      <c r="A396" s="10"/>
      <c r="B396" s="4"/>
      <c r="C396" s="5"/>
      <c r="D396" s="4"/>
    </row>
    <row r="397" spans="1:4" x14ac:dyDescent="0.25">
      <c r="A397" s="10"/>
      <c r="B397" s="4"/>
      <c r="C397" s="5"/>
      <c r="D397" s="4"/>
    </row>
    <row r="398" spans="1:4" x14ac:dyDescent="0.25">
      <c r="A398" s="10"/>
      <c r="B398" s="4"/>
      <c r="C398" s="5"/>
      <c r="D398" s="4"/>
    </row>
    <row r="399" spans="1:4" x14ac:dyDescent="0.25">
      <c r="A399" s="10"/>
      <c r="B399" s="4"/>
      <c r="C399" s="5"/>
      <c r="D399" s="4"/>
    </row>
    <row r="400" spans="1:4" x14ac:dyDescent="0.25">
      <c r="A400" s="10"/>
      <c r="B400" s="4"/>
      <c r="C400" s="5"/>
      <c r="D400" s="4"/>
    </row>
    <row r="401" spans="1:4" x14ac:dyDescent="0.25">
      <c r="A401" s="10"/>
      <c r="B401" s="4"/>
      <c r="C401" s="5"/>
      <c r="D401" s="4"/>
    </row>
    <row r="402" spans="1:4" x14ac:dyDescent="0.25">
      <c r="A402" s="10"/>
      <c r="B402" s="4"/>
      <c r="C402" s="5"/>
      <c r="D402" s="4"/>
    </row>
    <row r="403" spans="1:4" x14ac:dyDescent="0.25">
      <c r="A403" s="10"/>
      <c r="B403" s="4"/>
      <c r="C403" s="5"/>
      <c r="D403" s="4"/>
    </row>
    <row r="404" spans="1:4" x14ac:dyDescent="0.25">
      <c r="A404" s="10"/>
      <c r="B404" s="4"/>
      <c r="C404" s="5"/>
      <c r="D404" s="4"/>
    </row>
    <row r="405" spans="1:4" x14ac:dyDescent="0.25">
      <c r="A405" s="10"/>
      <c r="B405" s="4"/>
      <c r="C405" s="5"/>
      <c r="D405" s="4"/>
    </row>
    <row r="406" spans="1:4" x14ac:dyDescent="0.25">
      <c r="A406" s="10"/>
      <c r="B406" s="4"/>
      <c r="C406" s="5"/>
      <c r="D406" s="4"/>
    </row>
    <row r="407" spans="1:4" x14ac:dyDescent="0.25">
      <c r="A407" s="10"/>
      <c r="B407" s="4"/>
      <c r="C407" s="5"/>
      <c r="D407" s="4"/>
    </row>
    <row r="408" spans="1:4" x14ac:dyDescent="0.25">
      <c r="A408" s="10"/>
      <c r="B408" s="4"/>
      <c r="C408" s="5"/>
      <c r="D408" s="4"/>
    </row>
    <row r="409" spans="1:4" x14ac:dyDescent="0.25">
      <c r="A409" s="10"/>
      <c r="B409" s="4"/>
      <c r="C409" s="5"/>
      <c r="D409" s="4"/>
    </row>
    <row r="410" spans="1:4" x14ac:dyDescent="0.25">
      <c r="A410" s="10"/>
      <c r="B410" s="4"/>
      <c r="C410" s="5"/>
      <c r="D410" s="4"/>
    </row>
    <row r="411" spans="1:4" x14ac:dyDescent="0.25">
      <c r="A411" s="10"/>
      <c r="B411" s="4"/>
      <c r="C411" s="5"/>
      <c r="D411" s="4"/>
    </row>
    <row r="412" spans="1:4" x14ac:dyDescent="0.25">
      <c r="A412" s="10"/>
      <c r="B412" s="4"/>
      <c r="C412" s="5"/>
      <c r="D412" s="4"/>
    </row>
    <row r="413" spans="1:4" x14ac:dyDescent="0.25">
      <c r="A413" s="10"/>
      <c r="B413" s="4"/>
      <c r="C413" s="5"/>
      <c r="D413" s="4"/>
    </row>
    <row r="414" spans="1:4" x14ac:dyDescent="0.25">
      <c r="A414" s="10"/>
      <c r="B414" s="4"/>
      <c r="C414" s="5"/>
      <c r="D414" s="4"/>
    </row>
    <row r="415" spans="1:4" x14ac:dyDescent="0.25">
      <c r="A415" s="10"/>
      <c r="B415" s="4"/>
      <c r="C415" s="5"/>
      <c r="D415" s="4"/>
    </row>
    <row r="416" spans="1:4" x14ac:dyDescent="0.25">
      <c r="A416" s="10"/>
      <c r="B416" s="4"/>
      <c r="C416" s="5"/>
      <c r="D416" s="4"/>
    </row>
    <row r="417" spans="1:4" x14ac:dyDescent="0.25">
      <c r="A417" s="10"/>
      <c r="B417" s="4"/>
      <c r="C417" s="5"/>
      <c r="D417" s="4"/>
    </row>
    <row r="418" spans="1:4" x14ac:dyDescent="0.25">
      <c r="A418" s="10"/>
      <c r="B418" s="4"/>
      <c r="C418" s="5"/>
      <c r="D418" s="4"/>
    </row>
    <row r="419" spans="1:4" x14ac:dyDescent="0.25">
      <c r="A419" s="10"/>
      <c r="B419" s="4"/>
      <c r="C419" s="5"/>
      <c r="D419" s="4"/>
    </row>
    <row r="420" spans="1:4" x14ac:dyDescent="0.25">
      <c r="A420" s="10"/>
      <c r="B420" s="4"/>
      <c r="C420" s="5"/>
      <c r="D420" s="4"/>
    </row>
    <row r="421" spans="1:4" x14ac:dyDescent="0.25">
      <c r="A421" s="10"/>
      <c r="B421" s="4"/>
      <c r="C421" s="5"/>
      <c r="D421" s="4"/>
    </row>
    <row r="422" spans="1:4" x14ac:dyDescent="0.25">
      <c r="A422" s="10"/>
      <c r="B422" s="4"/>
      <c r="C422" s="5"/>
      <c r="D422" s="4"/>
    </row>
    <row r="423" spans="1:4" x14ac:dyDescent="0.25">
      <c r="A423" s="10"/>
      <c r="B423" s="4"/>
      <c r="C423" s="5"/>
      <c r="D423" s="4"/>
    </row>
    <row r="424" spans="1:4" x14ac:dyDescent="0.25">
      <c r="A424" s="10"/>
      <c r="B424" s="4"/>
      <c r="C424" s="5"/>
      <c r="D424" s="4"/>
    </row>
    <row r="425" spans="1:4" x14ac:dyDescent="0.25">
      <c r="A425" s="10"/>
      <c r="B425" s="4"/>
      <c r="C425" s="5"/>
      <c r="D425" s="4"/>
    </row>
    <row r="426" spans="1:4" x14ac:dyDescent="0.25">
      <c r="A426" s="10"/>
      <c r="B426" s="4"/>
      <c r="C426" s="5"/>
      <c r="D426" s="4"/>
    </row>
    <row r="427" spans="1:4" x14ac:dyDescent="0.25">
      <c r="A427" s="10"/>
      <c r="B427" s="4"/>
      <c r="C427" s="5"/>
      <c r="D427" s="4"/>
    </row>
    <row r="428" spans="1:4" x14ac:dyDescent="0.25">
      <c r="A428" s="10"/>
      <c r="B428" s="4"/>
      <c r="C428" s="5"/>
      <c r="D428" s="4"/>
    </row>
    <row r="429" spans="1:4" x14ac:dyDescent="0.25">
      <c r="A429" s="10"/>
      <c r="B429" s="4"/>
      <c r="C429" s="5"/>
      <c r="D429" s="4"/>
    </row>
    <row r="430" spans="1:4" x14ac:dyDescent="0.25">
      <c r="A430" s="10"/>
      <c r="B430" s="4"/>
      <c r="C430" s="5"/>
      <c r="D430" s="4"/>
    </row>
    <row r="431" spans="1:4" x14ac:dyDescent="0.25">
      <c r="A431" s="10"/>
      <c r="B431" s="4"/>
      <c r="C431" s="5"/>
      <c r="D431" s="4"/>
    </row>
    <row r="432" spans="1:4" x14ac:dyDescent="0.25">
      <c r="A432" s="10"/>
      <c r="B432" s="4"/>
      <c r="C432" s="5"/>
      <c r="D432" s="4"/>
    </row>
    <row r="433" spans="1:4" x14ac:dyDescent="0.25">
      <c r="A433" s="10"/>
      <c r="B433" s="4"/>
      <c r="C433" s="5"/>
      <c r="D433" s="4"/>
    </row>
    <row r="434" spans="1:4" x14ac:dyDescent="0.25">
      <c r="A434" s="10"/>
      <c r="B434" s="4"/>
      <c r="C434" s="5"/>
      <c r="D434" s="4"/>
    </row>
    <row r="435" spans="1:4" x14ac:dyDescent="0.25">
      <c r="A435" s="10"/>
      <c r="B435" s="4"/>
      <c r="C435" s="5"/>
      <c r="D435" s="4"/>
    </row>
    <row r="436" spans="1:4" x14ac:dyDescent="0.25">
      <c r="A436" s="10"/>
      <c r="B436" s="4"/>
      <c r="C436" s="5"/>
      <c r="D436" s="4"/>
    </row>
    <row r="437" spans="1:4" x14ac:dyDescent="0.25">
      <c r="A437" s="10"/>
      <c r="B437" s="4"/>
      <c r="C437" s="5"/>
      <c r="D437" s="4"/>
    </row>
    <row r="438" spans="1:4" x14ac:dyDescent="0.25">
      <c r="A438" s="10"/>
      <c r="B438" s="4"/>
      <c r="C438" s="5"/>
      <c r="D438" s="4"/>
    </row>
    <row r="439" spans="1:4" x14ac:dyDescent="0.25">
      <c r="A439" s="10"/>
      <c r="B439" s="4"/>
      <c r="C439" s="5"/>
      <c r="D439" s="4"/>
    </row>
    <row r="440" spans="1:4" x14ac:dyDescent="0.25">
      <c r="A440" s="10"/>
      <c r="B440" s="4"/>
      <c r="C440" s="5"/>
      <c r="D440" s="4"/>
    </row>
    <row r="441" spans="1:4" x14ac:dyDescent="0.25">
      <c r="A441" s="10"/>
      <c r="B441" s="4"/>
      <c r="C441" s="5"/>
      <c r="D441" s="4"/>
    </row>
    <row r="442" spans="1:4" x14ac:dyDescent="0.25">
      <c r="A442" s="10"/>
      <c r="B442" s="4"/>
      <c r="C442" s="5"/>
      <c r="D442" s="4"/>
    </row>
    <row r="443" spans="1:4" x14ac:dyDescent="0.25">
      <c r="A443" s="10"/>
      <c r="B443" s="4"/>
      <c r="C443" s="5"/>
      <c r="D443" s="4"/>
    </row>
    <row r="444" spans="1:4" x14ac:dyDescent="0.25">
      <c r="A444" s="10"/>
      <c r="B444" s="4"/>
      <c r="C444" s="5"/>
      <c r="D444" s="4"/>
    </row>
    <row r="445" spans="1:4" x14ac:dyDescent="0.25">
      <c r="A445" s="10"/>
      <c r="B445" s="4"/>
      <c r="C445" s="5"/>
      <c r="D445" s="4"/>
    </row>
    <row r="446" spans="1:4" x14ac:dyDescent="0.25">
      <c r="A446" s="10"/>
      <c r="B446" s="4"/>
      <c r="C446" s="5"/>
      <c r="D446" s="4"/>
    </row>
    <row r="447" spans="1:4" x14ac:dyDescent="0.25">
      <c r="A447" s="10"/>
      <c r="B447" s="4"/>
      <c r="C447" s="5"/>
      <c r="D447" s="4"/>
    </row>
    <row r="448" spans="1:4" x14ac:dyDescent="0.25">
      <c r="A448" s="10"/>
      <c r="B448" s="4"/>
      <c r="C448" s="5"/>
      <c r="D448" s="4"/>
    </row>
    <row r="449" spans="1:4" x14ac:dyDescent="0.25">
      <c r="A449" s="10"/>
      <c r="B449" s="4"/>
      <c r="C449" s="5"/>
      <c r="D449" s="4"/>
    </row>
    <row r="450" spans="1:4" x14ac:dyDescent="0.25">
      <c r="A450" s="10"/>
      <c r="B450" s="4"/>
      <c r="C450" s="5"/>
      <c r="D450" s="4"/>
    </row>
    <row r="451" spans="1:4" x14ac:dyDescent="0.25">
      <c r="A451" s="10"/>
      <c r="B451" s="4"/>
      <c r="C451" s="5"/>
      <c r="D451" s="4"/>
    </row>
    <row r="452" spans="1:4" x14ac:dyDescent="0.25">
      <c r="A452" s="10"/>
      <c r="B452" s="4"/>
      <c r="C452" s="5"/>
      <c r="D452" s="4"/>
    </row>
    <row r="453" spans="1:4" x14ac:dyDescent="0.25">
      <c r="A453" s="10"/>
      <c r="B453" s="4"/>
      <c r="C453" s="5"/>
      <c r="D453" s="4"/>
    </row>
    <row r="454" spans="1:4" x14ac:dyDescent="0.25">
      <c r="A454" s="10"/>
      <c r="B454" s="4"/>
      <c r="C454" s="5"/>
      <c r="D454" s="4"/>
    </row>
    <row r="455" spans="1:4" x14ac:dyDescent="0.25">
      <c r="A455" s="10"/>
      <c r="B455" s="4"/>
      <c r="C455" s="5"/>
      <c r="D455" s="4"/>
    </row>
    <row r="456" spans="1:4" x14ac:dyDescent="0.25">
      <c r="A456" s="10"/>
      <c r="B456" s="4"/>
      <c r="C456" s="5"/>
      <c r="D456" s="4"/>
    </row>
    <row r="457" spans="1:4" x14ac:dyDescent="0.25">
      <c r="A457" s="10"/>
      <c r="B457" s="4"/>
      <c r="C457" s="5"/>
      <c r="D457" s="4"/>
    </row>
    <row r="458" spans="1:4" x14ac:dyDescent="0.25">
      <c r="A458" s="10"/>
      <c r="B458" s="4"/>
      <c r="C458" s="5"/>
      <c r="D458" s="4"/>
    </row>
    <row r="459" spans="1:4" x14ac:dyDescent="0.25">
      <c r="A459" s="10"/>
      <c r="B459" s="4"/>
      <c r="C459" s="5"/>
      <c r="D459" s="4"/>
    </row>
    <row r="460" spans="1:4" x14ac:dyDescent="0.25">
      <c r="A460" s="10"/>
      <c r="B460" s="4"/>
      <c r="C460" s="5"/>
      <c r="D460" s="4"/>
    </row>
    <row r="461" spans="1:4" x14ac:dyDescent="0.25">
      <c r="A461" s="10"/>
      <c r="B461" s="4"/>
      <c r="C461" s="5"/>
      <c r="D461" s="4"/>
    </row>
    <row r="462" spans="1:4" x14ac:dyDescent="0.25">
      <c r="A462" s="10"/>
      <c r="B462" s="4"/>
      <c r="C462" s="5"/>
      <c r="D462" s="4"/>
    </row>
    <row r="463" spans="1:4" x14ac:dyDescent="0.25">
      <c r="A463" s="10"/>
      <c r="B463" s="4"/>
      <c r="C463" s="5"/>
      <c r="D463" s="4"/>
    </row>
    <row r="464" spans="1:4" x14ac:dyDescent="0.25">
      <c r="A464" s="10"/>
      <c r="B464" s="4"/>
      <c r="C464" s="5"/>
      <c r="D464" s="4"/>
    </row>
    <row r="465" spans="1:4" x14ac:dyDescent="0.25">
      <c r="A465" s="10"/>
      <c r="B465" s="4"/>
      <c r="C465" s="5"/>
      <c r="D465" s="4"/>
    </row>
    <row r="466" spans="1:4" x14ac:dyDescent="0.25">
      <c r="A466" s="10"/>
      <c r="B466" s="4"/>
      <c r="C466" s="5"/>
      <c r="D466" s="4"/>
    </row>
    <row r="467" spans="1:4" x14ac:dyDescent="0.25">
      <c r="A467" s="10"/>
      <c r="B467" s="4"/>
      <c r="C467" s="5"/>
      <c r="D467" s="4"/>
    </row>
    <row r="468" spans="1:4" x14ac:dyDescent="0.25">
      <c r="A468" s="10"/>
      <c r="B468" s="4"/>
      <c r="C468" s="5"/>
      <c r="D468" s="4"/>
    </row>
    <row r="469" spans="1:4" x14ac:dyDescent="0.25">
      <c r="A469" s="10"/>
      <c r="B469" s="4"/>
      <c r="C469" s="5"/>
      <c r="D469" s="4"/>
    </row>
    <row r="470" spans="1:4" x14ac:dyDescent="0.25">
      <c r="A470" s="10"/>
      <c r="B470" s="4"/>
      <c r="C470" s="5"/>
      <c r="D470" s="4"/>
    </row>
    <row r="471" spans="1:4" x14ac:dyDescent="0.25">
      <c r="A471" s="10"/>
      <c r="B471" s="4"/>
      <c r="C471" s="5"/>
      <c r="D471" s="4"/>
    </row>
    <row r="472" spans="1:4" x14ac:dyDescent="0.25">
      <c r="A472" s="10"/>
      <c r="B472" s="4"/>
      <c r="C472" s="5"/>
      <c r="D472" s="4"/>
    </row>
    <row r="473" spans="1:4" x14ac:dyDescent="0.25">
      <c r="A473" s="10"/>
      <c r="B473" s="4"/>
      <c r="C473" s="5"/>
      <c r="D473" s="4"/>
    </row>
    <row r="474" spans="1:4" x14ac:dyDescent="0.25">
      <c r="A474" s="10"/>
      <c r="B474" s="4"/>
      <c r="C474" s="5"/>
      <c r="D474" s="4"/>
    </row>
    <row r="475" spans="1:4" x14ac:dyDescent="0.25">
      <c r="A475" s="10"/>
      <c r="B475" s="4"/>
      <c r="C475" s="5"/>
      <c r="D475" s="4"/>
    </row>
    <row r="476" spans="1:4" x14ac:dyDescent="0.25">
      <c r="A476" s="10"/>
      <c r="B476" s="4"/>
      <c r="C476" s="5"/>
      <c r="D476" s="4"/>
    </row>
    <row r="477" spans="1:4" x14ac:dyDescent="0.25">
      <c r="A477" s="10"/>
      <c r="B477" s="4"/>
      <c r="C477" s="5"/>
      <c r="D477" s="4"/>
    </row>
    <row r="478" spans="1:4" x14ac:dyDescent="0.25">
      <c r="A478" s="10"/>
      <c r="B478" s="4"/>
      <c r="C478" s="5"/>
      <c r="D478" s="4"/>
    </row>
    <row r="479" spans="1:4" x14ac:dyDescent="0.25">
      <c r="A479" s="10"/>
      <c r="B479" s="4"/>
      <c r="C479" s="5"/>
      <c r="D479" s="4"/>
    </row>
    <row r="480" spans="1:4" x14ac:dyDescent="0.25">
      <c r="A480" s="10"/>
      <c r="B480" s="4"/>
      <c r="C480" s="5"/>
      <c r="D480" s="4"/>
    </row>
    <row r="481" spans="1:4" x14ac:dyDescent="0.25">
      <c r="A481" s="10"/>
      <c r="B481" s="4"/>
      <c r="C481" s="5"/>
      <c r="D481" s="4"/>
    </row>
    <row r="482" spans="1:4" x14ac:dyDescent="0.25">
      <c r="A482" s="10"/>
      <c r="B482" s="4"/>
      <c r="C482" s="5"/>
      <c r="D482" s="4"/>
    </row>
    <row r="483" spans="1:4" x14ac:dyDescent="0.25">
      <c r="A483" s="10"/>
      <c r="B483" s="4"/>
      <c r="C483" s="5"/>
      <c r="D483" s="4"/>
    </row>
    <row r="484" spans="1:4" x14ac:dyDescent="0.25">
      <c r="A484" s="10"/>
      <c r="B484" s="4"/>
      <c r="C484" s="5"/>
      <c r="D484" s="4"/>
    </row>
    <row r="485" spans="1:4" x14ac:dyDescent="0.25">
      <c r="A485" s="10"/>
      <c r="B485" s="4"/>
      <c r="C485" s="5"/>
      <c r="D485" s="4"/>
    </row>
    <row r="486" spans="1:4" x14ac:dyDescent="0.25">
      <c r="A486" s="10"/>
      <c r="B486" s="4"/>
      <c r="C486" s="5"/>
      <c r="D486" s="4"/>
    </row>
    <row r="487" spans="1:4" x14ac:dyDescent="0.25">
      <c r="A487" s="10"/>
      <c r="B487" s="4"/>
      <c r="C487" s="5"/>
      <c r="D487" s="4"/>
    </row>
    <row r="488" spans="1:4" x14ac:dyDescent="0.25">
      <c r="A488" s="10"/>
      <c r="B488" s="4"/>
      <c r="C488" s="5"/>
      <c r="D488" s="4"/>
    </row>
    <row r="489" spans="1:4" x14ac:dyDescent="0.25">
      <c r="A489" s="10"/>
      <c r="B489" s="4"/>
      <c r="C489" s="5"/>
      <c r="D489" s="4"/>
    </row>
    <row r="490" spans="1:4" x14ac:dyDescent="0.25">
      <c r="A490" s="10"/>
      <c r="B490" s="4"/>
      <c r="C490" s="5"/>
      <c r="D490" s="4"/>
    </row>
    <row r="491" spans="1:4" x14ac:dyDescent="0.25">
      <c r="A491" s="10"/>
      <c r="B491" s="4"/>
      <c r="C491" s="5"/>
      <c r="D491" s="4"/>
    </row>
    <row r="492" spans="1:4" x14ac:dyDescent="0.25">
      <c r="A492" s="10"/>
      <c r="B492" s="4"/>
      <c r="C492" s="5"/>
      <c r="D492" s="4"/>
    </row>
    <row r="493" spans="1:4" x14ac:dyDescent="0.25">
      <c r="A493" s="10"/>
      <c r="B493" s="4"/>
      <c r="C493" s="5"/>
      <c r="D493" s="4"/>
    </row>
    <row r="494" spans="1:4" x14ac:dyDescent="0.25">
      <c r="A494" s="10"/>
      <c r="B494" s="4"/>
      <c r="C494" s="5"/>
      <c r="D494" s="4"/>
    </row>
    <row r="495" spans="1:4" x14ac:dyDescent="0.25">
      <c r="A495" s="10"/>
      <c r="B495" s="4"/>
      <c r="C495" s="5"/>
      <c r="D495" s="4"/>
    </row>
    <row r="496" spans="1:4" x14ac:dyDescent="0.25">
      <c r="A496" s="10"/>
      <c r="B496" s="4"/>
      <c r="C496" s="5"/>
      <c r="D496" s="4"/>
    </row>
    <row r="497" spans="1:4" x14ac:dyDescent="0.25">
      <c r="A497" s="10"/>
      <c r="B497" s="4"/>
      <c r="C497" s="5"/>
      <c r="D497" s="4"/>
    </row>
    <row r="498" spans="1:4" x14ac:dyDescent="0.25">
      <c r="A498" s="10"/>
      <c r="B498" s="4"/>
      <c r="C498" s="5"/>
      <c r="D498" s="4"/>
    </row>
    <row r="499" spans="1:4" x14ac:dyDescent="0.25">
      <c r="A499" s="10"/>
      <c r="B499" s="4"/>
      <c r="C499" s="5"/>
      <c r="D499" s="4"/>
    </row>
    <row r="500" spans="1:4" x14ac:dyDescent="0.25">
      <c r="A500" s="10"/>
      <c r="B500" s="4"/>
      <c r="C500" s="5"/>
      <c r="D500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showGridLines="0" workbookViewId="0"/>
  </sheetViews>
  <sheetFormatPr defaultRowHeight="15.75" x14ac:dyDescent="0.25"/>
  <cols>
    <col min="1" max="1" width="25" customWidth="1"/>
    <col min="2" max="13" width="12" customWidth="1"/>
  </cols>
  <sheetData>
    <row r="1" spans="1:13" ht="21" x14ac:dyDescent="0.35">
      <c r="A1" s="1" t="s">
        <v>176</v>
      </c>
      <c r="D1" s="11">
        <v>2025</v>
      </c>
    </row>
    <row r="3" spans="1:13" x14ac:dyDescent="0.25">
      <c r="A3" s="12" t="s">
        <v>35</v>
      </c>
      <c r="B3" s="13" t="s">
        <v>49</v>
      </c>
      <c r="C3" s="13" t="s">
        <v>50</v>
      </c>
      <c r="D3" s="13" t="s">
        <v>51</v>
      </c>
      <c r="E3" s="13" t="s">
        <v>52</v>
      </c>
      <c r="F3" s="13" t="s">
        <v>53</v>
      </c>
      <c r="G3" s="13" t="s">
        <v>54</v>
      </c>
      <c r="H3" s="13" t="s">
        <v>55</v>
      </c>
      <c r="I3" s="13" t="s">
        <v>56</v>
      </c>
      <c r="J3" s="13" t="s">
        <v>57</v>
      </c>
      <c r="K3" s="13" t="s">
        <v>58</v>
      </c>
      <c r="L3" s="13" t="s">
        <v>59</v>
      </c>
      <c r="M3" s="13" t="s">
        <v>60</v>
      </c>
    </row>
    <row r="4" spans="1:13" x14ac:dyDescent="0.25">
      <c r="A4" s="4" t="s">
        <v>10</v>
      </c>
      <c r="B4" s="5">
        <f>SUMIFS('📝 Vnos stroškov'!$C:$C,'📝 Vnos stroškov'!$D:$D,$A4,'📝 Vnos stroškov'!$A:$A,"&gt;="&amp;DATE($D$1,1,1),'📝 Vnos stroškov'!$A:$A,"&lt;"&amp;DATE($D$1,2,1))</f>
        <v>0</v>
      </c>
      <c r="C4" s="5">
        <f>SUMIFS('📝 Vnos stroškov'!$C:$C,'📝 Vnos stroškov'!$D:$D,$A4,'📝 Vnos stroškov'!$A:$A,"&gt;="&amp;DATE($D$1,2,1),'📝 Vnos stroškov'!$A:$A,"&lt;"&amp;DATE($D$1,3,1))</f>
        <v>0</v>
      </c>
      <c r="D4" s="5">
        <f>SUMIFS('📝 Vnos stroškov'!$C:$C,'📝 Vnos stroškov'!$D:$D,$A4,'📝 Vnos stroškov'!$A:$A,"&gt;="&amp;DATE($D$1,3,1),'📝 Vnos stroškov'!$A:$A,"&lt;"&amp;DATE($D$1,4,1))</f>
        <v>73.33</v>
      </c>
      <c r="E4" s="5">
        <f>SUMIFS('📝 Vnos stroškov'!$C:$C,'📝 Vnos stroškov'!$D:$D,$A4,'📝 Vnos stroškov'!$A:$A,"&gt;="&amp;DATE($D$1,4,1),'📝 Vnos stroškov'!$A:$A,"&lt;"&amp;DATE($D$1,5,1))</f>
        <v>81.69</v>
      </c>
      <c r="F4" s="5">
        <f>SUMIFS('📝 Vnos stroškov'!$C:$C,'📝 Vnos stroškov'!$D:$D,$A4,'📝 Vnos stroškov'!$A:$A,"&gt;="&amp;DATE($D$1,5,1),'📝 Vnos stroškov'!$A:$A,"&lt;"&amp;DATE($D$1,6,1))</f>
        <v>72.94</v>
      </c>
      <c r="G4" s="5">
        <f>SUMIFS('📝 Vnos stroškov'!$C:$C,'📝 Vnos stroškov'!$D:$D,$A4,'📝 Vnos stroškov'!$A:$A,"&gt;="&amp;DATE($D$1,6,1),'📝 Vnos stroškov'!$A:$A,"&lt;"&amp;DATE($D$1,7,1))</f>
        <v>103.68</v>
      </c>
      <c r="H4" s="5">
        <f>SUMIFS('📝 Vnos stroškov'!$C:$C,'📝 Vnos stroškov'!$D:$D,$A4,'📝 Vnos stroškov'!$A:$A,"&gt;="&amp;DATE($D$1,7,1),'📝 Vnos stroškov'!$A:$A,"&lt;"&amp;DATE($D$1,8,1))</f>
        <v>80.81</v>
      </c>
      <c r="I4" s="5">
        <f>SUMIFS('📝 Vnos stroškov'!$C:$C,'📝 Vnos stroškov'!$D:$D,$A4,'📝 Vnos stroškov'!$A:$A,"&gt;="&amp;DATE($D$1,8,1),'📝 Vnos stroškov'!$A:$A,"&lt;"&amp;DATE($D$1,9,1))</f>
        <v>94.190000000000012</v>
      </c>
      <c r="J4" s="5">
        <f>SUMIFS('📝 Vnos stroškov'!$C:$C,'📝 Vnos stroškov'!$D:$D,$A4,'📝 Vnos stroškov'!$A:$A,"&gt;="&amp;DATE($D$1,9,1),'📝 Vnos stroškov'!$A:$A,"&lt;"&amp;DATE($D$1,10,1))</f>
        <v>71.740000000000009</v>
      </c>
      <c r="K4" s="5">
        <f>SUMIFS('📝 Vnos stroškov'!$C:$C,'📝 Vnos stroškov'!$D:$D,$A4,'📝 Vnos stroškov'!$A:$A,"&gt;="&amp;DATE($D$1,10,1),'📝 Vnos stroškov'!$A:$A,"&lt;"&amp;DATE($D$1,11,1))</f>
        <v>73.52</v>
      </c>
      <c r="L4" s="5">
        <f>SUMIFS('📝 Vnos stroškov'!$C:$C,'📝 Vnos stroškov'!$D:$D,$A4,'📝 Vnos stroškov'!$A:$A,"&gt;="&amp;DATE($D$1,11,1),'📝 Vnos stroškov'!$A:$A,"&lt;"&amp;DATE($D$1,12,1))</f>
        <v>197.99</v>
      </c>
      <c r="M4" s="5">
        <f>SUMIFS('📝 Vnos stroškov'!$C:$C,'📝 Vnos stroškov'!$D:$D,$A4,'📝 Vnos stroškov'!$A:$A,"&gt;="&amp;DATE($D$1,12,1),'📝 Vnos stroškov'!$A:$A,"&lt;"&amp;DATE($D$1,1,1))</f>
        <v>0</v>
      </c>
    </row>
    <row r="5" spans="1:13" x14ac:dyDescent="0.25">
      <c r="A5" s="4" t="s">
        <v>11</v>
      </c>
      <c r="B5" s="5">
        <f>SUMIFS('📝 Vnos stroškov'!$C:$C,'📝 Vnos stroškov'!$D:$D,$A5,'📝 Vnos stroškov'!$A:$A,"&gt;="&amp;DATE($D$1,1,1),'📝 Vnos stroškov'!$A:$A,"&lt;"&amp;DATE($D$1,2,1))</f>
        <v>0</v>
      </c>
      <c r="C5" s="5">
        <f>SUMIFS('📝 Vnos stroškov'!$C:$C,'📝 Vnos stroškov'!$D:$D,$A5,'📝 Vnos stroškov'!$A:$A,"&gt;="&amp;DATE($D$1,2,1),'📝 Vnos stroškov'!$A:$A,"&lt;"&amp;DATE($D$1,3,1))</f>
        <v>0</v>
      </c>
      <c r="D5" s="5">
        <f>SUMIFS('📝 Vnos stroškov'!$C:$C,'📝 Vnos stroškov'!$D:$D,$A5,'📝 Vnos stroškov'!$A:$A,"&gt;="&amp;DATE($D$1,3,1),'📝 Vnos stroškov'!$A:$A,"&lt;"&amp;DATE($D$1,4,1))</f>
        <v>251.72</v>
      </c>
      <c r="E5" s="5">
        <f>SUMIFS('📝 Vnos stroškov'!$C:$C,'📝 Vnos stroškov'!$D:$D,$A5,'📝 Vnos stroškov'!$A:$A,"&gt;="&amp;DATE($D$1,4,1),'📝 Vnos stroškov'!$A:$A,"&lt;"&amp;DATE($D$1,5,1))</f>
        <v>139.82000000000002</v>
      </c>
      <c r="F5" s="5">
        <f>SUMIFS('📝 Vnos stroškov'!$C:$C,'📝 Vnos stroškov'!$D:$D,$A5,'📝 Vnos stroškov'!$A:$A,"&gt;="&amp;DATE($D$1,5,1),'📝 Vnos stroškov'!$A:$A,"&lt;"&amp;DATE($D$1,6,1))</f>
        <v>258.62</v>
      </c>
      <c r="G5" s="5">
        <f>SUMIFS('📝 Vnos stroškov'!$C:$C,'📝 Vnos stroškov'!$D:$D,$A5,'📝 Vnos stroškov'!$A:$A,"&gt;="&amp;DATE($D$1,6,1),'📝 Vnos stroškov'!$A:$A,"&lt;"&amp;DATE($D$1,7,1))</f>
        <v>139.09</v>
      </c>
      <c r="H5" s="5">
        <f>SUMIFS('📝 Vnos stroškov'!$C:$C,'📝 Vnos stroškov'!$D:$D,$A5,'📝 Vnos stroškov'!$A:$A,"&gt;="&amp;DATE($D$1,7,1),'📝 Vnos stroškov'!$A:$A,"&lt;"&amp;DATE($D$1,8,1))</f>
        <v>241.62</v>
      </c>
      <c r="I5" s="5">
        <f>SUMIFS('📝 Vnos stroškov'!$C:$C,'📝 Vnos stroškov'!$D:$D,$A5,'📝 Vnos stroškov'!$A:$A,"&gt;="&amp;DATE($D$1,8,1),'📝 Vnos stroškov'!$A:$A,"&lt;"&amp;DATE($D$1,9,1))</f>
        <v>27.42</v>
      </c>
      <c r="J5" s="5">
        <f>SUMIFS('📝 Vnos stroškov'!$C:$C,'📝 Vnos stroškov'!$D:$D,$A5,'📝 Vnos stroškov'!$A:$A,"&gt;="&amp;DATE($D$1,9,1),'📝 Vnos stroškov'!$A:$A,"&lt;"&amp;DATE($D$1,10,1))</f>
        <v>82.839999999999989</v>
      </c>
      <c r="K5" s="5">
        <f>SUMIFS('📝 Vnos stroškov'!$C:$C,'📝 Vnos stroškov'!$D:$D,$A5,'📝 Vnos stroškov'!$A:$A,"&gt;="&amp;DATE($D$1,10,1),'📝 Vnos stroškov'!$A:$A,"&lt;"&amp;DATE($D$1,11,1))</f>
        <v>101.52999999999999</v>
      </c>
      <c r="L5" s="5">
        <f>SUMIFS('📝 Vnos stroškov'!$C:$C,'📝 Vnos stroškov'!$D:$D,$A5,'📝 Vnos stroškov'!$A:$A,"&gt;="&amp;DATE($D$1,11,1),'📝 Vnos stroškov'!$A:$A,"&lt;"&amp;DATE($D$1,12,1))</f>
        <v>0</v>
      </c>
      <c r="M5" s="5">
        <f>SUMIFS('📝 Vnos stroškov'!$C:$C,'📝 Vnos stroškov'!$D:$D,$A5,'📝 Vnos stroškov'!$A:$A,"&gt;="&amp;DATE($D$1,12,1),'📝 Vnos stroškov'!$A:$A,"&lt;"&amp;DATE($D$1,1,1))</f>
        <v>0</v>
      </c>
    </row>
    <row r="6" spans="1:13" x14ac:dyDescent="0.25">
      <c r="A6" s="4" t="s">
        <v>12</v>
      </c>
      <c r="B6" s="5">
        <f>SUMIFS('📝 Vnos stroškov'!$C:$C,'📝 Vnos stroškov'!$D:$D,$A6,'📝 Vnos stroškov'!$A:$A,"&gt;="&amp;DATE($D$1,1,1),'📝 Vnos stroškov'!$A:$A,"&lt;"&amp;DATE($D$1,2,1))</f>
        <v>0</v>
      </c>
      <c r="C6" s="5">
        <f>SUMIFS('📝 Vnos stroškov'!$C:$C,'📝 Vnos stroškov'!$D:$D,$A6,'📝 Vnos stroškov'!$A:$A,"&gt;="&amp;DATE($D$1,2,1),'📝 Vnos stroškov'!$A:$A,"&lt;"&amp;DATE($D$1,3,1))</f>
        <v>0</v>
      </c>
      <c r="D6" s="5">
        <f>SUMIFS('📝 Vnos stroškov'!$C:$C,'📝 Vnos stroškov'!$D:$D,$A6,'📝 Vnos stroškov'!$A:$A,"&gt;="&amp;DATE($D$1,3,1),'📝 Vnos stroškov'!$A:$A,"&lt;"&amp;DATE($D$1,4,1))</f>
        <v>98.100000000000023</v>
      </c>
      <c r="E6" s="5">
        <f>SUMIFS('📝 Vnos stroškov'!$C:$C,'📝 Vnos stroškov'!$D:$D,$A6,'📝 Vnos stroškov'!$A:$A,"&gt;="&amp;DATE($D$1,4,1),'📝 Vnos stroškov'!$A:$A,"&lt;"&amp;DATE($D$1,5,1))</f>
        <v>188.44</v>
      </c>
      <c r="F6" s="5">
        <f>SUMIFS('📝 Vnos stroškov'!$C:$C,'📝 Vnos stroškov'!$D:$D,$A6,'📝 Vnos stroškov'!$A:$A,"&gt;="&amp;DATE($D$1,5,1),'📝 Vnos stroškov'!$A:$A,"&lt;"&amp;DATE($D$1,6,1))</f>
        <v>134.29999999999998</v>
      </c>
      <c r="G6" s="5">
        <f>SUMIFS('📝 Vnos stroškov'!$C:$C,'📝 Vnos stroškov'!$D:$D,$A6,'📝 Vnos stroškov'!$A:$A,"&gt;="&amp;DATE($D$1,6,1),'📝 Vnos stroškov'!$A:$A,"&lt;"&amp;DATE($D$1,7,1))</f>
        <v>78.710000000000008</v>
      </c>
      <c r="H6" s="5">
        <f>SUMIFS('📝 Vnos stroškov'!$C:$C,'📝 Vnos stroškov'!$D:$D,$A6,'📝 Vnos stroškov'!$A:$A,"&gt;="&amp;DATE($D$1,7,1),'📝 Vnos stroškov'!$A:$A,"&lt;"&amp;DATE($D$1,8,1))</f>
        <v>94.02</v>
      </c>
      <c r="I6" s="5">
        <f>SUMIFS('📝 Vnos stroškov'!$C:$C,'📝 Vnos stroškov'!$D:$D,$A6,'📝 Vnos stroškov'!$A:$A,"&gt;="&amp;DATE($D$1,8,1),'📝 Vnos stroškov'!$A:$A,"&lt;"&amp;DATE($D$1,9,1))</f>
        <v>71.240000000000009</v>
      </c>
      <c r="J6" s="5">
        <f>SUMIFS('📝 Vnos stroškov'!$C:$C,'📝 Vnos stroškov'!$D:$D,$A6,'📝 Vnos stroškov'!$A:$A,"&gt;="&amp;DATE($D$1,9,1),'📝 Vnos stroškov'!$A:$A,"&lt;"&amp;DATE($D$1,10,1))</f>
        <v>128.63000000000002</v>
      </c>
      <c r="K6" s="5">
        <f>SUMIFS('📝 Vnos stroškov'!$C:$C,'📝 Vnos stroškov'!$D:$D,$A6,'📝 Vnos stroškov'!$A:$A,"&gt;="&amp;DATE($D$1,10,1),'📝 Vnos stroškov'!$A:$A,"&lt;"&amp;DATE($D$1,11,1))</f>
        <v>76.22</v>
      </c>
      <c r="L6" s="5">
        <f>SUMIFS('📝 Vnos stroškov'!$C:$C,'📝 Vnos stroškov'!$D:$D,$A6,'📝 Vnos stroškov'!$A:$A,"&gt;="&amp;DATE($D$1,11,1),'📝 Vnos stroškov'!$A:$A,"&lt;"&amp;DATE($D$1,12,1))</f>
        <v>64.66</v>
      </c>
      <c r="M6" s="5">
        <f>SUMIFS('📝 Vnos stroškov'!$C:$C,'📝 Vnos stroškov'!$D:$D,$A6,'📝 Vnos stroškov'!$A:$A,"&gt;="&amp;DATE($D$1,12,1),'📝 Vnos stroškov'!$A:$A,"&lt;"&amp;DATE($D$1,1,1))</f>
        <v>0</v>
      </c>
    </row>
    <row r="7" spans="1:13" x14ac:dyDescent="0.25">
      <c r="A7" s="4" t="s">
        <v>13</v>
      </c>
      <c r="B7" s="5">
        <f>SUMIFS('📝 Vnos stroškov'!$C:$C,'📝 Vnos stroškov'!$D:$D,$A7,'📝 Vnos stroškov'!$A:$A,"&gt;="&amp;DATE($D$1,1,1),'📝 Vnos stroškov'!$A:$A,"&lt;"&amp;DATE($D$1,2,1))</f>
        <v>0</v>
      </c>
      <c r="C7" s="5">
        <f>SUMIFS('📝 Vnos stroškov'!$C:$C,'📝 Vnos stroškov'!$D:$D,$A7,'📝 Vnos stroškov'!$A:$A,"&gt;="&amp;DATE($D$1,2,1),'📝 Vnos stroškov'!$A:$A,"&lt;"&amp;DATE($D$1,3,1))</f>
        <v>0</v>
      </c>
      <c r="D7" s="5">
        <f>SUMIFS('📝 Vnos stroškov'!$C:$C,'📝 Vnos stroškov'!$D:$D,$A7,'📝 Vnos stroškov'!$A:$A,"&gt;="&amp;DATE($D$1,3,1),'📝 Vnos stroškov'!$A:$A,"&lt;"&amp;DATE($D$1,4,1))</f>
        <v>85.61999999999999</v>
      </c>
      <c r="E7" s="5">
        <f>SUMIFS('📝 Vnos stroškov'!$C:$C,'📝 Vnos stroškov'!$D:$D,$A7,'📝 Vnos stroškov'!$A:$A,"&gt;="&amp;DATE($D$1,4,1),'📝 Vnos stroškov'!$A:$A,"&lt;"&amp;DATE($D$1,5,1))</f>
        <v>118.6</v>
      </c>
      <c r="F7" s="5">
        <f>SUMIFS('📝 Vnos stroškov'!$C:$C,'📝 Vnos stroškov'!$D:$D,$A7,'📝 Vnos stroškov'!$A:$A,"&gt;="&amp;DATE($D$1,5,1),'📝 Vnos stroškov'!$A:$A,"&lt;"&amp;DATE($D$1,6,1))</f>
        <v>111.64</v>
      </c>
      <c r="G7" s="5">
        <f>SUMIFS('📝 Vnos stroškov'!$C:$C,'📝 Vnos stroškov'!$D:$D,$A7,'📝 Vnos stroškov'!$A:$A,"&gt;="&amp;DATE($D$1,6,1),'📝 Vnos stroškov'!$A:$A,"&lt;"&amp;DATE($D$1,7,1))</f>
        <v>48.7</v>
      </c>
      <c r="H7" s="5">
        <f>SUMIFS('📝 Vnos stroškov'!$C:$C,'📝 Vnos stroškov'!$D:$D,$A7,'📝 Vnos stroškov'!$A:$A,"&gt;="&amp;DATE($D$1,7,1),'📝 Vnos stroškov'!$A:$A,"&lt;"&amp;DATE($D$1,8,1))</f>
        <v>160.72000000000003</v>
      </c>
      <c r="I7" s="5">
        <f>SUMIFS('📝 Vnos stroškov'!$C:$C,'📝 Vnos stroškov'!$D:$D,$A7,'📝 Vnos stroškov'!$A:$A,"&gt;="&amp;DATE($D$1,8,1),'📝 Vnos stroškov'!$A:$A,"&lt;"&amp;DATE($D$1,9,1))</f>
        <v>21.63</v>
      </c>
      <c r="J7" s="5">
        <f>SUMIFS('📝 Vnos stroškov'!$C:$C,'📝 Vnos stroškov'!$D:$D,$A7,'📝 Vnos stroškov'!$A:$A,"&gt;="&amp;DATE($D$1,9,1),'📝 Vnos stroškov'!$A:$A,"&lt;"&amp;DATE($D$1,10,1))</f>
        <v>14.6</v>
      </c>
      <c r="K7" s="5">
        <f>SUMIFS('📝 Vnos stroškov'!$C:$C,'📝 Vnos stroškov'!$D:$D,$A7,'📝 Vnos stroškov'!$A:$A,"&gt;="&amp;DATE($D$1,10,1),'📝 Vnos stroškov'!$A:$A,"&lt;"&amp;DATE($D$1,11,1))</f>
        <v>43.400000000000006</v>
      </c>
      <c r="L7" s="5">
        <f>SUMIFS('📝 Vnos stroškov'!$C:$C,'📝 Vnos stroškov'!$D:$D,$A7,'📝 Vnos stroškov'!$A:$A,"&gt;="&amp;DATE($D$1,11,1),'📝 Vnos stroškov'!$A:$A,"&lt;"&amp;DATE($D$1,12,1))</f>
        <v>0</v>
      </c>
      <c r="M7" s="5">
        <f>SUMIFS('📝 Vnos stroškov'!$C:$C,'📝 Vnos stroškov'!$D:$D,$A7,'📝 Vnos stroškov'!$A:$A,"&gt;="&amp;DATE($D$1,12,1),'📝 Vnos stroškov'!$A:$A,"&lt;"&amp;DATE($D$1,1,1))</f>
        <v>0</v>
      </c>
    </row>
    <row r="8" spans="1:13" x14ac:dyDescent="0.25">
      <c r="A8" s="4" t="s">
        <v>14</v>
      </c>
      <c r="B8" s="5">
        <f>SUMIFS('📝 Vnos stroškov'!$C:$C,'📝 Vnos stroškov'!$D:$D,$A8,'📝 Vnos stroškov'!$A:$A,"&gt;="&amp;DATE($D$1,1,1),'📝 Vnos stroškov'!$A:$A,"&lt;"&amp;DATE($D$1,2,1))</f>
        <v>0</v>
      </c>
      <c r="C8" s="5">
        <f>SUMIFS('📝 Vnos stroškov'!$C:$C,'📝 Vnos stroškov'!$D:$D,$A8,'📝 Vnos stroškov'!$A:$A,"&gt;="&amp;DATE($D$1,2,1),'📝 Vnos stroškov'!$A:$A,"&lt;"&amp;DATE($D$1,3,1))</f>
        <v>0</v>
      </c>
      <c r="D8" s="5">
        <f>SUMIFS('📝 Vnos stroškov'!$C:$C,'📝 Vnos stroškov'!$D:$D,$A8,'📝 Vnos stroškov'!$A:$A,"&gt;="&amp;DATE($D$1,3,1),'📝 Vnos stroškov'!$A:$A,"&lt;"&amp;DATE($D$1,4,1))</f>
        <v>0</v>
      </c>
      <c r="E8" s="5">
        <f>SUMIFS('📝 Vnos stroškov'!$C:$C,'📝 Vnos stroškov'!$D:$D,$A8,'📝 Vnos stroškov'!$A:$A,"&gt;="&amp;DATE($D$1,4,1),'📝 Vnos stroškov'!$A:$A,"&lt;"&amp;DATE($D$1,5,1))</f>
        <v>0</v>
      </c>
      <c r="F8" s="5">
        <f>SUMIFS('📝 Vnos stroškov'!$C:$C,'📝 Vnos stroškov'!$D:$D,$A8,'📝 Vnos stroškov'!$A:$A,"&gt;="&amp;DATE($D$1,5,1),'📝 Vnos stroškov'!$A:$A,"&lt;"&amp;DATE($D$1,6,1))</f>
        <v>0</v>
      </c>
      <c r="G8" s="5">
        <f>SUMIFS('📝 Vnos stroškov'!$C:$C,'📝 Vnos stroškov'!$D:$D,$A8,'📝 Vnos stroškov'!$A:$A,"&gt;="&amp;DATE($D$1,6,1),'📝 Vnos stroškov'!$A:$A,"&lt;"&amp;DATE($D$1,7,1))</f>
        <v>0</v>
      </c>
      <c r="H8" s="5">
        <f>SUMIFS('📝 Vnos stroškov'!$C:$C,'📝 Vnos stroškov'!$D:$D,$A8,'📝 Vnos stroškov'!$A:$A,"&gt;="&amp;DATE($D$1,7,1),'📝 Vnos stroškov'!$A:$A,"&lt;"&amp;DATE($D$1,8,1))</f>
        <v>0</v>
      </c>
      <c r="I8" s="5">
        <f>SUMIFS('📝 Vnos stroškov'!$C:$C,'📝 Vnos stroškov'!$D:$D,$A8,'📝 Vnos stroškov'!$A:$A,"&gt;="&amp;DATE($D$1,8,1),'📝 Vnos stroškov'!$A:$A,"&lt;"&amp;DATE($D$1,9,1))</f>
        <v>0</v>
      </c>
      <c r="J8" s="5">
        <f>SUMIFS('📝 Vnos stroškov'!$C:$C,'📝 Vnos stroškov'!$D:$D,$A8,'📝 Vnos stroškov'!$A:$A,"&gt;="&amp;DATE($D$1,9,1),'📝 Vnos stroškov'!$A:$A,"&lt;"&amp;DATE($D$1,10,1))</f>
        <v>0</v>
      </c>
      <c r="K8" s="5">
        <f>SUMIFS('📝 Vnos stroškov'!$C:$C,'📝 Vnos stroškov'!$D:$D,$A8,'📝 Vnos stroškov'!$A:$A,"&gt;="&amp;DATE($D$1,10,1),'📝 Vnos stroškov'!$A:$A,"&lt;"&amp;DATE($D$1,11,1))</f>
        <v>0</v>
      </c>
      <c r="L8" s="5">
        <f>SUMIFS('📝 Vnos stroškov'!$C:$C,'📝 Vnos stroškov'!$D:$D,$A8,'📝 Vnos stroškov'!$A:$A,"&gt;="&amp;DATE($D$1,11,1),'📝 Vnos stroškov'!$A:$A,"&lt;"&amp;DATE($D$1,12,1))</f>
        <v>0</v>
      </c>
      <c r="M8" s="5">
        <f>SUMIFS('📝 Vnos stroškov'!$C:$C,'📝 Vnos stroškov'!$D:$D,$A8,'📝 Vnos stroškov'!$A:$A,"&gt;="&amp;DATE($D$1,12,1),'📝 Vnos stroškov'!$A:$A,"&lt;"&amp;DATE($D$1,1,1))</f>
        <v>0</v>
      </c>
    </row>
    <row r="9" spans="1:13" x14ac:dyDescent="0.25">
      <c r="A9" s="4" t="s">
        <v>15</v>
      </c>
      <c r="B9" s="5">
        <f>SUMIFS('📝 Vnos stroškov'!$C:$C,'📝 Vnos stroškov'!$D:$D,$A9,'📝 Vnos stroškov'!$A:$A,"&gt;="&amp;DATE($D$1,1,1),'📝 Vnos stroškov'!$A:$A,"&lt;"&amp;DATE($D$1,2,1))</f>
        <v>0</v>
      </c>
      <c r="C9" s="5">
        <f>SUMIFS('📝 Vnos stroškov'!$C:$C,'📝 Vnos stroškov'!$D:$D,$A9,'📝 Vnos stroškov'!$A:$A,"&gt;="&amp;DATE($D$1,2,1),'📝 Vnos stroškov'!$A:$A,"&lt;"&amp;DATE($D$1,3,1))</f>
        <v>0</v>
      </c>
      <c r="D9" s="5">
        <f>SUMIFS('📝 Vnos stroškov'!$C:$C,'📝 Vnos stroškov'!$D:$D,$A9,'📝 Vnos stroškov'!$A:$A,"&gt;="&amp;DATE($D$1,3,1),'📝 Vnos stroškov'!$A:$A,"&lt;"&amp;DATE($D$1,4,1))</f>
        <v>30.97</v>
      </c>
      <c r="E9" s="5">
        <f>SUMIFS('📝 Vnos stroškov'!$C:$C,'📝 Vnos stroškov'!$D:$D,$A9,'📝 Vnos stroškov'!$A:$A,"&gt;="&amp;DATE($D$1,4,1),'📝 Vnos stroškov'!$A:$A,"&lt;"&amp;DATE($D$1,5,1))</f>
        <v>18.66</v>
      </c>
      <c r="F9" s="5">
        <f>SUMIFS('📝 Vnos stroškov'!$C:$C,'📝 Vnos stroškov'!$D:$D,$A9,'📝 Vnos stroškov'!$A:$A,"&gt;="&amp;DATE($D$1,5,1),'📝 Vnos stroškov'!$A:$A,"&lt;"&amp;DATE($D$1,6,1))</f>
        <v>0</v>
      </c>
      <c r="G9" s="5">
        <f>SUMIFS('📝 Vnos stroškov'!$C:$C,'📝 Vnos stroškov'!$D:$D,$A9,'📝 Vnos stroškov'!$A:$A,"&gt;="&amp;DATE($D$1,6,1),'📝 Vnos stroškov'!$A:$A,"&lt;"&amp;DATE($D$1,7,1))</f>
        <v>41.97</v>
      </c>
      <c r="H9" s="5">
        <f>SUMIFS('📝 Vnos stroškov'!$C:$C,'📝 Vnos stroškov'!$D:$D,$A9,'📝 Vnos stroškov'!$A:$A,"&gt;="&amp;DATE($D$1,7,1),'📝 Vnos stroškov'!$A:$A,"&lt;"&amp;DATE($D$1,8,1))</f>
        <v>0</v>
      </c>
      <c r="I9" s="5">
        <f>SUMIFS('📝 Vnos stroškov'!$C:$C,'📝 Vnos stroškov'!$D:$D,$A9,'📝 Vnos stroškov'!$A:$A,"&gt;="&amp;DATE($D$1,8,1),'📝 Vnos stroškov'!$A:$A,"&lt;"&amp;DATE($D$1,9,1))</f>
        <v>0</v>
      </c>
      <c r="J9" s="5">
        <f>SUMIFS('📝 Vnos stroškov'!$C:$C,'📝 Vnos stroškov'!$D:$D,$A9,'📝 Vnos stroškov'!$A:$A,"&gt;="&amp;DATE($D$1,9,1),'📝 Vnos stroškov'!$A:$A,"&lt;"&amp;DATE($D$1,10,1))</f>
        <v>45.22</v>
      </c>
      <c r="K9" s="5">
        <f>SUMIFS('📝 Vnos stroškov'!$C:$C,'📝 Vnos stroškov'!$D:$D,$A9,'📝 Vnos stroškov'!$A:$A,"&gt;="&amp;DATE($D$1,10,1),'📝 Vnos stroškov'!$A:$A,"&lt;"&amp;DATE($D$1,11,1))</f>
        <v>0</v>
      </c>
      <c r="L9" s="5">
        <f>SUMIFS('📝 Vnos stroškov'!$C:$C,'📝 Vnos stroškov'!$D:$D,$A9,'📝 Vnos stroškov'!$A:$A,"&gt;="&amp;DATE($D$1,11,1),'📝 Vnos stroškov'!$A:$A,"&lt;"&amp;DATE($D$1,12,1))</f>
        <v>0</v>
      </c>
      <c r="M9" s="5">
        <f>SUMIFS('📝 Vnos stroškov'!$C:$C,'📝 Vnos stroškov'!$D:$D,$A9,'📝 Vnos stroškov'!$A:$A,"&gt;="&amp;DATE($D$1,12,1),'📝 Vnos stroškov'!$A:$A,"&lt;"&amp;DATE($D$1,1,1))</f>
        <v>0</v>
      </c>
    </row>
    <row r="10" spans="1:13" x14ac:dyDescent="0.25">
      <c r="A10" s="4" t="s">
        <v>16</v>
      </c>
      <c r="B10" s="5">
        <f>SUMIFS('📝 Vnos stroškov'!$C:$C,'📝 Vnos stroškov'!$D:$D,$A10,'📝 Vnos stroškov'!$A:$A,"&gt;="&amp;DATE($D$1,1,1),'📝 Vnos stroškov'!$A:$A,"&lt;"&amp;DATE($D$1,2,1))</f>
        <v>0</v>
      </c>
      <c r="C10" s="5">
        <f>SUMIFS('📝 Vnos stroškov'!$C:$C,'📝 Vnos stroškov'!$D:$D,$A10,'📝 Vnos stroškov'!$A:$A,"&gt;="&amp;DATE($D$1,2,1),'📝 Vnos stroškov'!$A:$A,"&lt;"&amp;DATE($D$1,3,1))</f>
        <v>0</v>
      </c>
      <c r="D10" s="5">
        <f>SUMIFS('📝 Vnos stroškov'!$C:$C,'📝 Vnos stroškov'!$D:$D,$A10,'📝 Vnos stroškov'!$A:$A,"&gt;="&amp;DATE($D$1,3,1),'📝 Vnos stroškov'!$A:$A,"&lt;"&amp;DATE($D$1,4,1))</f>
        <v>0</v>
      </c>
      <c r="E10" s="5">
        <f>SUMIFS('📝 Vnos stroškov'!$C:$C,'📝 Vnos stroškov'!$D:$D,$A10,'📝 Vnos stroškov'!$A:$A,"&gt;="&amp;DATE($D$1,4,1),'📝 Vnos stroškov'!$A:$A,"&lt;"&amp;DATE($D$1,5,1))</f>
        <v>0</v>
      </c>
      <c r="F10" s="5">
        <f>SUMIFS('📝 Vnos stroškov'!$C:$C,'📝 Vnos stroškov'!$D:$D,$A10,'📝 Vnos stroškov'!$A:$A,"&gt;="&amp;DATE($D$1,5,1),'📝 Vnos stroškov'!$A:$A,"&lt;"&amp;DATE($D$1,6,1))</f>
        <v>0</v>
      </c>
      <c r="G10" s="5">
        <f>SUMIFS('📝 Vnos stroškov'!$C:$C,'📝 Vnos stroškov'!$D:$D,$A10,'📝 Vnos stroškov'!$A:$A,"&gt;="&amp;DATE($D$1,6,1),'📝 Vnos stroškov'!$A:$A,"&lt;"&amp;DATE($D$1,7,1))</f>
        <v>0</v>
      </c>
      <c r="H10" s="5">
        <f>SUMIFS('📝 Vnos stroškov'!$C:$C,'📝 Vnos stroškov'!$D:$D,$A10,'📝 Vnos stroškov'!$A:$A,"&gt;="&amp;DATE($D$1,7,1),'📝 Vnos stroškov'!$A:$A,"&lt;"&amp;DATE($D$1,8,1))</f>
        <v>0</v>
      </c>
      <c r="I10" s="5">
        <f>SUMIFS('📝 Vnos stroškov'!$C:$C,'📝 Vnos stroškov'!$D:$D,$A10,'📝 Vnos stroškov'!$A:$A,"&gt;="&amp;DATE($D$1,8,1),'📝 Vnos stroškov'!$A:$A,"&lt;"&amp;DATE($D$1,9,1))</f>
        <v>0</v>
      </c>
      <c r="J10" s="5">
        <f>SUMIFS('📝 Vnos stroškov'!$C:$C,'📝 Vnos stroškov'!$D:$D,$A10,'📝 Vnos stroškov'!$A:$A,"&gt;="&amp;DATE($D$1,9,1),'📝 Vnos stroškov'!$A:$A,"&lt;"&amp;DATE($D$1,10,1))</f>
        <v>0</v>
      </c>
      <c r="K10" s="5">
        <f>SUMIFS('📝 Vnos stroškov'!$C:$C,'📝 Vnos stroškov'!$D:$D,$A10,'📝 Vnos stroškov'!$A:$A,"&gt;="&amp;DATE($D$1,10,1),'📝 Vnos stroškov'!$A:$A,"&lt;"&amp;DATE($D$1,11,1))</f>
        <v>0</v>
      </c>
      <c r="L10" s="5">
        <f>SUMIFS('📝 Vnos stroškov'!$C:$C,'📝 Vnos stroškov'!$D:$D,$A10,'📝 Vnos stroškov'!$A:$A,"&gt;="&amp;DATE($D$1,11,1),'📝 Vnos stroškov'!$A:$A,"&lt;"&amp;DATE($D$1,12,1))</f>
        <v>0</v>
      </c>
      <c r="M10" s="5">
        <f>SUMIFS('📝 Vnos stroškov'!$C:$C,'📝 Vnos stroškov'!$D:$D,$A10,'📝 Vnos stroškov'!$A:$A,"&gt;="&amp;DATE($D$1,12,1),'📝 Vnos stroškov'!$A:$A,"&lt;"&amp;DATE($D$1,1,1))</f>
        <v>0</v>
      </c>
    </row>
    <row r="11" spans="1:13" x14ac:dyDescent="0.25">
      <c r="A11" s="4" t="s">
        <v>17</v>
      </c>
      <c r="B11" s="5">
        <f>SUMIFS('📝 Vnos stroškov'!$C:$C,'📝 Vnos stroškov'!$D:$D,$A11,'📝 Vnos stroškov'!$A:$A,"&gt;="&amp;DATE($D$1,1,1),'📝 Vnos stroškov'!$A:$A,"&lt;"&amp;DATE($D$1,2,1))</f>
        <v>0</v>
      </c>
      <c r="C11" s="5">
        <f>SUMIFS('📝 Vnos stroškov'!$C:$C,'📝 Vnos stroškov'!$D:$D,$A11,'📝 Vnos stroškov'!$A:$A,"&gt;="&amp;DATE($D$1,2,1),'📝 Vnos stroškov'!$A:$A,"&lt;"&amp;DATE($D$1,3,1))</f>
        <v>0</v>
      </c>
      <c r="D11" s="5">
        <f>SUMIFS('📝 Vnos stroškov'!$C:$C,'📝 Vnos stroškov'!$D:$D,$A11,'📝 Vnos stroškov'!$A:$A,"&gt;="&amp;DATE($D$1,3,1),'📝 Vnos stroškov'!$A:$A,"&lt;"&amp;DATE($D$1,4,1))</f>
        <v>478.42</v>
      </c>
      <c r="E11" s="5">
        <f>SUMIFS('📝 Vnos stroškov'!$C:$C,'📝 Vnos stroškov'!$D:$D,$A11,'📝 Vnos stroškov'!$A:$A,"&gt;="&amp;DATE($D$1,4,1),'📝 Vnos stroškov'!$A:$A,"&lt;"&amp;DATE($D$1,5,1))</f>
        <v>1378.16</v>
      </c>
      <c r="F11" s="5">
        <f>SUMIFS('📝 Vnos stroškov'!$C:$C,'📝 Vnos stroškov'!$D:$D,$A11,'📝 Vnos stroškov'!$A:$A,"&gt;="&amp;DATE($D$1,5,1),'📝 Vnos stroškov'!$A:$A,"&lt;"&amp;DATE($D$1,6,1))</f>
        <v>562.82000000000005</v>
      </c>
      <c r="G11" s="5">
        <f>SUMIFS('📝 Vnos stroškov'!$C:$C,'📝 Vnos stroškov'!$D:$D,$A11,'📝 Vnos stroškov'!$A:$A,"&gt;="&amp;DATE($D$1,6,1),'📝 Vnos stroškov'!$A:$A,"&lt;"&amp;DATE($D$1,7,1))</f>
        <v>725.67000000000007</v>
      </c>
      <c r="H11" s="5">
        <f>SUMIFS('📝 Vnos stroškov'!$C:$C,'📝 Vnos stroškov'!$D:$D,$A11,'📝 Vnos stroškov'!$A:$A,"&gt;="&amp;DATE($D$1,7,1),'📝 Vnos stroškov'!$A:$A,"&lt;"&amp;DATE($D$1,8,1))</f>
        <v>821.72</v>
      </c>
      <c r="I11" s="5">
        <f>SUMIFS('📝 Vnos stroškov'!$C:$C,'📝 Vnos stroškov'!$D:$D,$A11,'📝 Vnos stroškov'!$A:$A,"&gt;="&amp;DATE($D$1,8,1),'📝 Vnos stroškov'!$A:$A,"&lt;"&amp;DATE($D$1,9,1))</f>
        <v>533.41000000000008</v>
      </c>
      <c r="J11" s="5">
        <f>SUMIFS('📝 Vnos stroškov'!$C:$C,'📝 Vnos stroškov'!$D:$D,$A11,'📝 Vnos stroškov'!$A:$A,"&gt;="&amp;DATE($D$1,9,1),'📝 Vnos stroškov'!$A:$A,"&lt;"&amp;DATE($D$1,10,1))</f>
        <v>416.73</v>
      </c>
      <c r="K11" s="5">
        <f>SUMIFS('📝 Vnos stroškov'!$C:$C,'📝 Vnos stroškov'!$D:$D,$A11,'📝 Vnos stroškov'!$A:$A,"&gt;="&amp;DATE($D$1,10,1),'📝 Vnos stroškov'!$A:$A,"&lt;"&amp;DATE($D$1,11,1))</f>
        <v>517.39</v>
      </c>
      <c r="L11" s="5">
        <f>SUMIFS('📝 Vnos stroškov'!$C:$C,'📝 Vnos stroškov'!$D:$D,$A11,'📝 Vnos stroškov'!$A:$A,"&gt;="&amp;DATE($D$1,11,1),'📝 Vnos stroškov'!$A:$A,"&lt;"&amp;DATE($D$1,12,1))</f>
        <v>5</v>
      </c>
      <c r="M11" s="5">
        <f>SUMIFS('📝 Vnos stroškov'!$C:$C,'📝 Vnos stroškov'!$D:$D,$A11,'📝 Vnos stroškov'!$A:$A,"&gt;="&amp;DATE($D$1,12,1),'📝 Vnos stroškov'!$A:$A,"&lt;"&amp;DATE($D$1,1,1))</f>
        <v>0</v>
      </c>
    </row>
    <row r="12" spans="1:13" x14ac:dyDescent="0.25">
      <c r="A12" s="7" t="s">
        <v>61</v>
      </c>
      <c r="B12" s="8">
        <f t="shared" ref="B12:M12" si="0">SUM(B4:B11)</f>
        <v>0</v>
      </c>
      <c r="C12" s="8">
        <f t="shared" si="0"/>
        <v>0</v>
      </c>
      <c r="D12" s="8">
        <f t="shared" si="0"/>
        <v>1018.1600000000001</v>
      </c>
      <c r="E12" s="8">
        <f t="shared" si="0"/>
        <v>1925.3700000000001</v>
      </c>
      <c r="F12" s="8">
        <f t="shared" si="0"/>
        <v>1140.3200000000002</v>
      </c>
      <c r="G12" s="8">
        <f t="shared" si="0"/>
        <v>1137.8200000000002</v>
      </c>
      <c r="H12" s="8">
        <f t="shared" si="0"/>
        <v>1398.89</v>
      </c>
      <c r="I12" s="8">
        <f t="shared" si="0"/>
        <v>747.8900000000001</v>
      </c>
      <c r="J12" s="8">
        <f t="shared" si="0"/>
        <v>759.7600000000001</v>
      </c>
      <c r="K12" s="8">
        <f t="shared" si="0"/>
        <v>812.06</v>
      </c>
      <c r="L12" s="8">
        <f t="shared" si="0"/>
        <v>267.64999999999998</v>
      </c>
      <c r="M12" s="8">
        <f t="shared" si="0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/>
  </sheetViews>
  <sheetFormatPr defaultRowHeight="15.75" x14ac:dyDescent="0.25"/>
  <sheetData>
    <row r="1" spans="1:1" ht="21" x14ac:dyDescent="0.35">
      <c r="A1" s="1" t="s">
        <v>177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7</vt:i4>
      </vt:variant>
    </vt:vector>
  </HeadingPairs>
  <TitlesOfParts>
    <vt:vector size="7" baseType="lpstr">
      <vt:lpstr>🏠 Dashboard</vt:lpstr>
      <vt:lpstr>⚙️ Kategorije</vt:lpstr>
      <vt:lpstr>💼 Čistopis</vt:lpstr>
      <vt:lpstr>💰 Prihodki</vt:lpstr>
      <vt:lpstr>📝 Vnos stroškov</vt:lpstr>
      <vt:lpstr>📊 Mesečni pregled</vt:lpstr>
      <vt:lpstr>📈 Grafi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Gašper Cilenšek Čuk</cp:lastModifiedBy>
  <dcterms:created xsi:type="dcterms:W3CDTF">2025-11-15T21:32:26Z</dcterms:created>
  <dcterms:modified xsi:type="dcterms:W3CDTF">2025-11-17T17:51:25Z</dcterms:modified>
</cp:coreProperties>
</file>